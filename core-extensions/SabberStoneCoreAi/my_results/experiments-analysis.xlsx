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D:\Pics_Movies\vids\PWr\Sem10\magisterka\SabberStone\core-extensions\SabberStoneCoreAi\my_results\"/>
    </mc:Choice>
  </mc:AlternateContent>
  <xr:revisionPtr revIDLastSave="0" documentId="13_ncr:1_{C21D3467-6B32-4C04-B79E-3AF4DB408C11}" xr6:coauthVersionLast="47" xr6:coauthVersionMax="47" xr10:uidLastSave="{00000000-0000-0000-0000-000000000000}"/>
  <bookViews>
    <workbookView xWindow="38805" yWindow="690" windowWidth="28800" windowHeight="15885" activeTab="1" xr2:uid="{23FC15A1-DE11-4199-B1D8-4DE8B55B0A24}"/>
  </bookViews>
  <sheets>
    <sheet name="Weights" sheetId="1" r:id="rId1"/>
    <sheet name="Fight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I4" i="2" l="1"/>
  <c r="AF4" i="2"/>
  <c r="AG4" i="2" s="1"/>
  <c r="Q4" i="2"/>
  <c r="N4" i="2"/>
  <c r="O4" i="2" s="1"/>
  <c r="Z4" i="2"/>
  <c r="W4" i="2"/>
  <c r="X4" i="2" s="1"/>
  <c r="Z7" i="2"/>
  <c r="W7" i="2"/>
  <c r="X7" i="2" s="1"/>
  <c r="N7" i="2"/>
  <c r="O7" i="2" s="1"/>
  <c r="Q7" i="2"/>
  <c r="E4" i="2"/>
  <c r="E7" i="2"/>
  <c r="E10" i="2"/>
  <c r="F10" i="2" s="1"/>
  <c r="H10" i="2"/>
  <c r="F4" i="2"/>
  <c r="F7" i="2"/>
  <c r="H7" i="2"/>
  <c r="H4" i="2"/>
  <c r="BB66" i="1"/>
  <c r="BB67" i="1"/>
  <c r="BB68" i="1"/>
  <c r="BB69" i="1"/>
  <c r="BB70" i="1"/>
  <c r="BB71" i="1"/>
  <c r="BB72" i="1"/>
  <c r="BB73" i="1"/>
  <c r="BB74" i="1"/>
  <c r="BB75" i="1"/>
  <c r="BB76" i="1"/>
  <c r="BB77" i="1"/>
  <c r="BB78" i="1"/>
  <c r="BB79" i="1"/>
  <c r="BB80" i="1"/>
  <c r="BB81" i="1"/>
  <c r="BB82" i="1"/>
  <c r="BB83" i="1"/>
  <c r="BB84" i="1"/>
  <c r="BB85" i="1"/>
  <c r="BB86" i="1"/>
  <c r="AI92" i="1"/>
  <c r="AJ92" i="1"/>
  <c r="AI93" i="1"/>
  <c r="AJ93" i="1"/>
  <c r="AI94" i="1"/>
  <c r="AJ94" i="1"/>
  <c r="AI95" i="1"/>
  <c r="AJ95" i="1"/>
  <c r="AI96" i="1"/>
  <c r="AJ96" i="1"/>
  <c r="AI97" i="1"/>
  <c r="AJ97" i="1"/>
  <c r="AI98" i="1"/>
  <c r="AJ98" i="1"/>
  <c r="AI99" i="1"/>
  <c r="AJ99" i="1"/>
  <c r="AI100" i="1"/>
  <c r="AJ100" i="1"/>
  <c r="AI101" i="1"/>
  <c r="AJ101" i="1"/>
  <c r="AI102" i="1"/>
  <c r="AJ102" i="1"/>
  <c r="AI103" i="1"/>
  <c r="AJ103" i="1"/>
  <c r="AI104" i="1"/>
  <c r="AJ104" i="1"/>
  <c r="AI105" i="1"/>
  <c r="AJ105" i="1"/>
  <c r="AI106" i="1"/>
  <c r="AJ106" i="1"/>
  <c r="AI107" i="1"/>
  <c r="AJ107" i="1"/>
  <c r="AI108" i="1"/>
  <c r="AJ108" i="1"/>
  <c r="AI109" i="1"/>
  <c r="AJ109" i="1"/>
  <c r="AI110" i="1"/>
  <c r="AJ110" i="1"/>
  <c r="AI111" i="1"/>
  <c r="AJ111" i="1"/>
  <c r="AJ91" i="1"/>
  <c r="AI91" i="1"/>
  <c r="F32" i="1"/>
  <c r="AB68" i="1"/>
  <c r="AB71" i="1"/>
  <c r="AP32" i="1"/>
  <c r="R32" i="1"/>
  <c r="Z64" i="1" a="1"/>
  <c r="Z64" i="1" s="1"/>
  <c r="AD32" i="1"/>
  <c r="AG33" i="1" s="1"/>
  <c r="AQ4" i="1"/>
  <c r="AE4" i="1"/>
  <c r="AF5" i="1" s="1"/>
  <c r="AT33" i="1" l="1"/>
  <c r="BC66" i="1" a="1"/>
  <c r="BC66" i="1" s="1"/>
  <c r="AR33" i="1"/>
  <c r="AQ33" i="1"/>
  <c r="AS33" i="1"/>
  <c r="AF33" i="1"/>
  <c r="AI5" i="1"/>
  <c r="AH5" i="1"/>
  <c r="AG5" i="1"/>
  <c r="AE33" i="1"/>
  <c r="AH33" i="1"/>
  <c r="BD66" i="1" l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<sst xmlns="http://schemas.openxmlformats.org/spreadsheetml/2006/main" count="373" uniqueCount="77">
  <si>
    <t>Hero Health Reduced</t>
  </si>
  <si>
    <t>Hero Attack Reduced</t>
  </si>
  <si>
    <t>Minion Health Reduced</t>
  </si>
  <si>
    <t>Minion Attack Reduced</t>
  </si>
  <si>
    <t>Minion Appeared</t>
  </si>
  <si>
    <t>Minion Killed</t>
  </si>
  <si>
    <t>Secret Removed</t>
  </si>
  <si>
    <t>Mana Reduced</t>
  </si>
  <si>
    <t>Minion Health</t>
  </si>
  <si>
    <t>Minion Attack</t>
  </si>
  <si>
    <t>Minion Has Charge</t>
  </si>
  <si>
    <t>Minion Has Deathrattle</t>
  </si>
  <si>
    <t>Minion Has Divine Shield</t>
  </si>
  <si>
    <t>Minion Has Inspire</t>
  </si>
  <si>
    <t>Minion Has Life Steal</t>
  </si>
  <si>
    <t>Minion Has Stealth</t>
  </si>
  <si>
    <t>Minion Has Taunt</t>
  </si>
  <si>
    <t>Minion Has Windfury</t>
  </si>
  <si>
    <t>Minion Has Poison</t>
  </si>
  <si>
    <t>Minion Rarity</t>
  </si>
  <si>
    <t>Minion Mana Cost</t>
  </si>
  <si>
    <t>NUM_GAMES</t>
  </si>
  <si>
    <t>POP_SIZE</t>
  </si>
  <si>
    <t>MAX_EVALUATIONS</t>
  </si>
  <si>
    <t>Max fitness</t>
  </si>
  <si>
    <t>Worst</t>
  </si>
  <si>
    <t>Best</t>
  </si>
  <si>
    <t>Median</t>
  </si>
  <si>
    <t>Average</t>
  </si>
  <si>
    <t>Std Dev</t>
  </si>
  <si>
    <t>Modified - 63 parameters</t>
  </si>
  <si>
    <t>Base - my runs</t>
  </si>
  <si>
    <t>Baseline results - from authors</t>
  </si>
  <si>
    <t>0.9622560353455828</t>
  </si>
  <si>
    <t xml:space="preserve"> 1</t>
  </si>
  <si>
    <t xml:space="preserve"> 0</t>
  </si>
  <si>
    <t xml:space="preserve"> 0.86147339157364</t>
  </si>
  <si>
    <t xml:space="preserve"> 0.5430266096979701</t>
  </si>
  <si>
    <t xml:space="preserve"> 0.17621606443353027</t>
  </si>
  <si>
    <t xml:space="preserve"> 0.4104209220994927</t>
  </si>
  <si>
    <t xml:space="preserve"> 0.9374832102214393</t>
  </si>
  <si>
    <t xml:space="preserve"> 0.29276559472066643</t>
  </si>
  <si>
    <t xml:space="preserve"> 0.01825896895584212</t>
  </si>
  <si>
    <t xml:space="preserve"> 0.28901297450699664</t>
  </si>
  <si>
    <t xml:space="preserve"> 0.6247405241351475</t>
  </si>
  <si>
    <t xml:space="preserve"> 0.2299751081125314</t>
  </si>
  <si>
    <t xml:space="preserve"> 0.7157675822536926</t>
  </si>
  <si>
    <t xml:space="preserve"> 0.44551237594442145</t>
  </si>
  <si>
    <t xml:space="preserve"> 0.7088354719260018</t>
  </si>
  <si>
    <t>Modified - 28 parameters</t>
  </si>
  <si>
    <t>PIRATE_SYNERGY</t>
  </si>
  <si>
    <t>JADE_PROGRESS</t>
  </si>
  <si>
    <t>OVERLOAD_ADDED</t>
  </si>
  <si>
    <t>SPELL_DAMAGE</t>
  </si>
  <si>
    <t>HAND_SIZE</t>
  </si>
  <si>
    <t>WEAPON_DURABILITY</t>
  </si>
  <si>
    <t>1, 0.6947718807254298, 0, 1, 1, 1, 1, 0.0023681176217088123, 0.819841829780082, 1, 0.6393588145542547, 0, 1, 1, 0.7348143987296604, 0, 1, 0, 0.9075011928413589, 0, 0, 0, 0.5412377673694595, 1, 0.5727954517400847, 0, 0.49365151829555753, 0.7269937306988813, 0.3562782008793161, 0.20765849497792258, 0.4329184118009346, 0.20231990886052761, 0.26481783751479393, 0.2085659227475723, 0.21825337284384205, 0.07440878872158506, 1.3844440078233675, 0.6146720458287414, 0.04157368736606137, 0.5038025900470313, 1.2118915407037785, 0.8364613564199238, 0.5844320052672438, 2.098944719549955, 1.5305939667372708, 1.5922771989406157, 0.13705811269215817, 1.7918234237636885, 2.318527972789336, 0.4081542884318773, 0.7384944167972799, 0.7319024987502374, 0.007985585357628475, 0.7254616671122226, 0.36184154535947166, 0.24009995298824263</t>
  </si>
  <si>
    <t xml:space="preserve"> 0.6247405241351475# 0# 0.2299751081125314# 0.7157675822536926# 0.44551237594442145# 0.7088354719260018# 1</t>
  </si>
  <si>
    <t>0.6247405241351475#0#0.2299751081125314#0.7157675822536926#0.44551237594442145#0.7088354719260018#1</t>
  </si>
  <si>
    <t>0-1</t>
  </si>
  <si>
    <t>-0.05 - 0.05</t>
  </si>
  <si>
    <t>DRAGONS_IN_HAND</t>
  </si>
  <si>
    <t>p1</t>
  </si>
  <si>
    <t>p2</t>
  </si>
  <si>
    <t>no. of battles</t>
  </si>
  <si>
    <t>p2 wins</t>
  </si>
  <si>
    <t>base-8-8-200</t>
  </si>
  <si>
    <t>63-8-8-200</t>
  </si>
  <si>
    <t>p1 wins</t>
  </si>
  <si>
    <t>deck</t>
  </si>
  <si>
    <t>all</t>
  </si>
  <si>
    <t>p1winrate</t>
  </si>
  <si>
    <t>p2winrate</t>
  </si>
  <si>
    <t>28-8-8-200</t>
  </si>
  <si>
    <t>21d-8-8-200</t>
  </si>
  <si>
    <t>base</t>
  </si>
  <si>
    <t>21d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</si>
</sst>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0.000"/>
  </numFmts>
  <fonts count="1" x14ac:knownFonts="1">
    <font>
      <sz val="11"/>
      <color theme="1"/>
      <name val="Aptos Narrow"/>
      <family val="2"/>
      <charset val="238"/>
      <scheme val="minor"/>
    </font>
  </fonts>
  <fills count="3">
    <fill>
      <patternFill patternType="none"/>
    </fill>
    <fill>
      <patternFill patternType="gray125"/>
    </fill>
    <fill>
      <patternFill patternType="solid">
        <fgColor theme="6" tint="0.79998168889431442"/>
        <bgColor theme="6" tint="0.79998168889431442"/>
      </patternFill>
    </fill>
  </fills>
  <borders count="2">
    <border>
      <left/>
      <right/>
      <top/>
      <bottom/>
      <diagonal/>
    </border>
    <border>
      <left style="thin">
        <color theme="6" tint="0.39997558519241921"/>
      </left>
      <right/>
      <top style="thin">
        <color theme="6" tint="0.39997558519241921"/>
      </top>
      <bottom style="thin">
        <color theme="6" tint="0.3999755851924192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Alignment="1">
      <alignment horizontal="center"/>
    </xf>
    <xf numFmtId="0" fontId="0" fillId="2" borderId="1" xfId="0" applyFill="1" applyBorder="1"/>
    <xf numFmtId="0" fontId="0" fillId="0" borderId="1" xfId="0" applyBorder="1"/>
    <xf numFmtId="0" fontId="0" fillId="0" borderId="0" xfId="0" quotePrefix="1"/>
    <xf numFmtId="0" fontId="0" fillId="0" borderId="0" xfId="0" applyAlignment="1">
      <alignment horizontal="center"/>
    </xf>
    <xf numFmtId="166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4D04C67-AC61-4BD0-85A3-8525BAE80EC2}" name="Table3" displayName="Table3" ref="AB3:AJ25" totalsRowShown="0">
  <autoFilter ref="AB3:AJ25" xr:uid="{44D04C67-AC61-4BD0-85A3-8525BAE80EC2}"/>
  <tableColumns count="9">
    <tableColumn id="1" xr3:uid="{37950EE3-A188-45D0-BB14-C58287B28296}" name="NUM_GAMES"/>
    <tableColumn id="2" xr3:uid="{C19E09AE-CB98-42C4-8D17-5EE11C8C5001}" name="POP_SIZE"/>
    <tableColumn id="3" xr3:uid="{C6CD5088-AE37-4CA1-B1A7-7D683E5A3C42}" name="MAX_EVALUATIONS"/>
    <tableColumn id="4" xr3:uid="{71606736-595B-452E-B806-F95D15F9B32F}" name="Max fitness">
      <calculatedColumnFormula>AB4*(2*AC4-1)*9</calculatedColumnFormula>
    </tableColumn>
    <tableColumn id="5" xr3:uid="{015B4A84-5904-4CA8-8B0B-392EE3BDF668}" name="Worst"/>
    <tableColumn id="6" xr3:uid="{F7931D4A-2B64-405C-A8B3-1FFF041640AF}" name="Best"/>
    <tableColumn id="7" xr3:uid="{B567C2C9-A65A-4399-914E-D883A974B30C}" name="Median"/>
    <tableColumn id="8" xr3:uid="{F7B6125C-101D-4138-9347-FC982B1BA02C}" name="Average"/>
    <tableColumn id="9" xr3:uid="{680A25EF-EFC8-470D-BA53-1BD0E8798D87}" name="Std Dev"/>
  </tableColumns>
  <tableStyleInfo name="TableStyleMedium4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803BDB72-3C50-4AF1-93DB-3AAC862F86F0}" name="Table36" displayName="Table36" ref="AN3:AV25" totalsRowShown="0">
  <autoFilter ref="AN3:AV25" xr:uid="{803BDB72-3C50-4AF1-93DB-3AAC862F86F0}"/>
  <tableColumns count="9">
    <tableColumn id="1" xr3:uid="{94E86A5B-CCFF-4C16-A6E6-CB5AD1C8D4FE}" name="NUM_GAMES"/>
    <tableColumn id="2" xr3:uid="{5E5525BD-0554-4DF0-A64A-8C9938C900C7}" name="POP_SIZE"/>
    <tableColumn id="3" xr3:uid="{41E912CF-1B84-4B51-9C34-A910E7F5FF95}" name="MAX_EVALUATIONS"/>
    <tableColumn id="4" xr3:uid="{ADCC5641-0C48-4296-BB6C-50EC2BD3DA73}" name="Max fitness">
      <calculatedColumnFormula>AN4*(2*AO4-1)*9</calculatedColumnFormula>
    </tableColumn>
    <tableColumn id="5" xr3:uid="{64A228F2-9967-47CC-AF50-D0FA627E9E96}" name="Worst"/>
    <tableColumn id="6" xr3:uid="{DA6ADEFB-ABF7-495F-B6B0-3A9FB287CD8A}" name="Best"/>
    <tableColumn id="7" xr3:uid="{5B3C5CFB-B34E-46CE-9D13-97DECDD52E28}" name="Median"/>
    <tableColumn id="8" xr3:uid="{83251AD5-E054-43CB-9537-B86A64104D1D}" name="Average"/>
    <tableColumn id="9" xr3:uid="{29B1F0FC-A089-466F-BD72-710011AE4CA8}" name="Std Dev"/>
  </tableColumns>
  <tableStyleInfo name="TableStyleMedium4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9922936-8F22-4B9B-A8C9-0DD4353ECDA9}" name="Table367" displayName="Table367" ref="C31:K53" totalsRowShown="0">
  <autoFilter ref="C31:K53" xr:uid="{99922936-8F22-4B9B-A8C9-0DD4353ECDA9}"/>
  <tableColumns count="9">
    <tableColumn id="1" xr3:uid="{371674DC-EA33-4436-A342-84E7FAC4E1FD}" name="NUM_GAMES"/>
    <tableColumn id="2" xr3:uid="{1830F024-7C07-4002-BF00-06BA4668EDD3}" name="POP_SIZE"/>
    <tableColumn id="3" xr3:uid="{15F8379D-9DE8-4F26-BD26-0ADBE67EE693}" name="MAX_EVALUATIONS"/>
    <tableColumn id="4" xr3:uid="{4FD7DFD0-CA3A-4B88-B656-EF5CB86E81C8}" name="Max fitness">
      <calculatedColumnFormula>C32*(2*D32-1)*9</calculatedColumnFormula>
    </tableColumn>
    <tableColumn id="5" xr3:uid="{67049B6D-74F6-4148-943E-C37A53D5376C}" name="Worst"/>
    <tableColumn id="6" xr3:uid="{F856FAA5-7787-4420-AF24-302CE2722BED}" name="Best"/>
    <tableColumn id="7" xr3:uid="{F100FB45-BCE8-4E08-91FD-60AEDA5C6763}" name="Median"/>
    <tableColumn id="8" xr3:uid="{9D8D354D-B870-4F08-B796-1A18A7EAE037}" name="Average"/>
    <tableColumn id="9" xr3:uid="{4E4E011D-03D6-4520-BDA1-030A73B3E196}" name="Std Dev"/>
  </tableColumns>
  <tableStyleInfo name="TableStyleMedium4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18828EE-F471-4108-91FD-7D16CCFE1A54}" name="Table32" displayName="Table32" ref="AA31:AI53" totalsRowShown="0">
  <autoFilter ref="AA31:AI53" xr:uid="{F18828EE-F471-4108-91FD-7D16CCFE1A54}"/>
  <tableColumns count="9">
    <tableColumn id="1" xr3:uid="{BEA79028-84A3-4B00-9FD6-A6671550AED8}" name="NUM_GAMES"/>
    <tableColumn id="2" xr3:uid="{B156FFC2-8134-4151-8242-D026092E6129}" name="POP_SIZE"/>
    <tableColumn id="3" xr3:uid="{6928792F-CF39-4E80-AAD9-6DA2914FB220}" name="MAX_EVALUATIONS"/>
    <tableColumn id="4" xr3:uid="{2538D7AD-C7A1-4664-BEBB-B543727B9075}" name="Max fitness"/>
    <tableColumn id="5" xr3:uid="{4FD533E9-C3DE-497C-8420-3EC0ED61DD1E}" name="Worst"/>
    <tableColumn id="6" xr3:uid="{F742F2DB-873B-4966-A5F5-C876C9EEB43F}" name="Best"/>
    <tableColumn id="7" xr3:uid="{8DBB8B78-1F63-42ED-BEF1-06A80E43FD8C}" name="Median"/>
    <tableColumn id="8" xr3:uid="{6611E894-5865-45C6-8411-3E6E04C1F12D}" name="Average"/>
    <tableColumn id="9" xr3:uid="{BAAF0839-633D-4A70-985F-EE2745FC790E}" name="Std Dev"/>
  </tableColumns>
  <tableStyleInfo name="TableStyleMedium4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DC8E4D3-42DE-47E1-B7ED-B366D581560A}" name="Table363" displayName="Table363" ref="O31:W53" totalsRowShown="0">
  <autoFilter ref="O31:W53" xr:uid="{EDC8E4D3-42DE-47E1-B7ED-B366D581560A}"/>
  <tableColumns count="9">
    <tableColumn id="1" xr3:uid="{9B8662A4-E722-4A02-813F-57AC5B170AE8}" name="NUM_GAMES"/>
    <tableColumn id="2" xr3:uid="{9ACF3727-4721-4F9B-B5D9-F22DCE7A7DCA}" name="POP_SIZE"/>
    <tableColumn id="3" xr3:uid="{B792EF3C-0B74-4330-80E5-A0E8D61CE18D}" name="MAX_EVALUATIONS"/>
    <tableColumn id="4" xr3:uid="{AED658CE-7A21-4C43-B477-CBFD876854DB}" name="Max fitness">
      <calculatedColumnFormula>O32*(2*P32-1)*9</calculatedColumnFormula>
    </tableColumn>
    <tableColumn id="5" xr3:uid="{FAB6E56C-4598-4C43-A75D-1C7DFD75F343}" name="Worst"/>
    <tableColumn id="6" xr3:uid="{5A5411FF-49A6-41B7-BD9E-F65D9E199159}" name="Best"/>
    <tableColumn id="7" xr3:uid="{09B8F365-E0F5-4DD1-836F-4DFA8338C596}" name="Median"/>
    <tableColumn id="8" xr3:uid="{F9FD4A1C-B2D0-4897-99B0-3DD6512A1B34}" name="Average"/>
    <tableColumn id="9" xr3:uid="{01704407-5C20-4E33-92E7-3519DEEFFEAD}" name="Std Dev"/>
  </tableColumns>
  <tableStyleInfo name="TableStyleMedium4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26842D54-DBAC-4E95-ADE1-C98038F283E1}" name="Table3810" displayName="Table3810" ref="AM31:AU60" totalsRowShown="0">
  <autoFilter ref="AM31:AU60" xr:uid="{26842D54-DBAC-4E95-ADE1-C98038F283E1}"/>
  <tableColumns count="9">
    <tableColumn id="1" xr3:uid="{83C9257C-32D5-4082-9A05-6D2EEC627C7F}" name="NUM_GAMES"/>
    <tableColumn id="2" xr3:uid="{CF6ECAA6-D95E-44FC-9B9C-2AAC8A1C8000}" name="POP_SIZE"/>
    <tableColumn id="3" xr3:uid="{39A62337-A38C-45FA-859A-D68F3459C2C1}" name="MAX_EVALUATIONS"/>
    <tableColumn id="4" xr3:uid="{C773C7C5-5818-4B76-BD93-A699AD8F8AFB}" name="Max fitness">
      <calculatedColumnFormula>AM32*(2*AN32-1)*9</calculatedColumnFormula>
    </tableColumn>
    <tableColumn id="5" xr3:uid="{299EC119-05F8-4189-BB60-5E4A33D30501}" name="Worst"/>
    <tableColumn id="6" xr3:uid="{9DE31C72-25D8-481C-82D1-803D6A4E8A72}" name="Best"/>
    <tableColumn id="7" xr3:uid="{6620A88C-C2D7-4FF7-98E7-9AED93849FC9}" name="Median"/>
    <tableColumn id="8" xr3:uid="{792E89B8-21BC-44E9-907B-769D6A9EBCAC}" name="Average"/>
    <tableColumn id="9" xr3:uid="{041F48A7-F306-44CD-8783-869FC8AFF2B5}" name="Std Dev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5" Type="http://schemas.openxmlformats.org/officeDocument/2006/relationships/table" Target="../tables/table5.xml"/><Relationship Id="rId4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9E6D9B-34F9-44C1-9C05-29B97EE9AFF1}">
  <dimension ref="A1:CC112"/>
  <sheetViews>
    <sheetView topLeftCell="G29" zoomScale="85" zoomScaleNormal="85" workbookViewId="0">
      <selection activeCell="AH44" sqref="AH44"/>
    </sheetView>
  </sheetViews>
  <sheetFormatPr defaultRowHeight="15" x14ac:dyDescent="0.25"/>
  <cols>
    <col min="2" max="2" width="5.7109375" customWidth="1"/>
    <col min="13" max="13" width="9.140625" customWidth="1"/>
    <col min="14" max="14" width="5.140625" customWidth="1"/>
    <col min="16" max="16" width="20.28515625" bestFit="1" customWidth="1"/>
    <col min="17" max="17" width="8.42578125" customWidth="1"/>
    <col min="18" max="18" width="8.5703125" customWidth="1"/>
    <col min="26" max="26" width="6" customWidth="1"/>
    <col min="27" max="27" width="7.28515625" customWidth="1"/>
    <col min="28" max="29" width="20.28515625" bestFit="1" customWidth="1"/>
    <col min="30" max="30" width="21.42578125" bestFit="1" customWidth="1"/>
    <col min="31" max="31" width="13.5703125" bestFit="1" customWidth="1"/>
    <col min="32" max="32" width="8.7109375" bestFit="1" customWidth="1"/>
    <col min="33" max="33" width="7.28515625" bestFit="1" customWidth="1"/>
    <col min="34" max="34" width="9.85546875" bestFit="1" customWidth="1"/>
    <col min="35" max="35" width="10.42578125" bestFit="1" customWidth="1"/>
    <col min="36" max="36" width="10.28515625" bestFit="1" customWidth="1"/>
    <col min="38" max="38" width="7.140625" customWidth="1"/>
    <col min="39" max="39" width="3.85546875" customWidth="1"/>
    <col min="40" max="40" width="20.28515625" bestFit="1" customWidth="1"/>
    <col min="41" max="41" width="11.7109375" bestFit="1" customWidth="1"/>
    <col min="42" max="42" width="20.7109375" bestFit="1" customWidth="1"/>
    <col min="43" max="43" width="13.5703125" bestFit="1" customWidth="1"/>
    <col min="44" max="44" width="8.7109375" bestFit="1" customWidth="1"/>
    <col min="45" max="45" width="7.28515625" bestFit="1" customWidth="1"/>
    <col min="46" max="46" width="9.85546875" bestFit="1" customWidth="1"/>
    <col min="47" max="47" width="10.42578125" bestFit="1" customWidth="1"/>
    <col min="48" max="48" width="10.28515625" bestFit="1" customWidth="1"/>
    <col min="50" max="50" width="23.140625" bestFit="1" customWidth="1"/>
    <col min="52" max="52" width="14.85546875" bestFit="1" customWidth="1"/>
    <col min="53" max="53" width="11.7109375" bestFit="1" customWidth="1"/>
    <col min="54" max="54" width="20.7109375" bestFit="1" customWidth="1"/>
    <col min="55" max="55" width="13.5703125" bestFit="1" customWidth="1"/>
    <col min="56" max="56" width="8.7109375" bestFit="1" customWidth="1"/>
    <col min="57" max="57" width="7.28515625" bestFit="1" customWidth="1"/>
    <col min="58" max="58" width="9.85546875" bestFit="1" customWidth="1"/>
    <col min="59" max="59" width="10.42578125" bestFit="1" customWidth="1"/>
    <col min="60" max="60" width="10.28515625" bestFit="1" customWidth="1"/>
  </cols>
  <sheetData>
    <row r="1" spans="26:48" hidden="1" x14ac:dyDescent="0.25">
      <c r="AB1" s="5" t="s">
        <v>30</v>
      </c>
      <c r="AC1" s="5"/>
      <c r="AD1" s="5"/>
      <c r="AE1" s="5"/>
      <c r="AF1" s="5"/>
      <c r="AG1" s="5"/>
      <c r="AH1" s="5"/>
      <c r="AI1" s="5"/>
      <c r="AJ1" s="5"/>
      <c r="AN1" s="5" t="s">
        <v>31</v>
      </c>
      <c r="AO1" s="5"/>
      <c r="AP1" s="5"/>
      <c r="AQ1" s="5"/>
      <c r="AR1" s="5"/>
      <c r="AS1" s="5"/>
      <c r="AT1" s="5"/>
      <c r="AU1" s="5"/>
      <c r="AV1" s="5"/>
    </row>
    <row r="2" spans="26:48" hidden="1" x14ac:dyDescent="0.25">
      <c r="AB2" s="5"/>
      <c r="AC2" s="5"/>
      <c r="AD2" s="5"/>
      <c r="AE2" s="5"/>
      <c r="AF2" s="5"/>
      <c r="AG2" s="5"/>
      <c r="AH2" s="5"/>
      <c r="AI2" s="5"/>
      <c r="AJ2" s="5"/>
      <c r="AN2" s="5"/>
      <c r="AO2" s="5"/>
      <c r="AP2" s="5"/>
      <c r="AQ2" s="5"/>
      <c r="AR2" s="5"/>
      <c r="AS2" s="5"/>
      <c r="AT2" s="5"/>
      <c r="AU2" s="5"/>
      <c r="AV2" s="5"/>
    </row>
    <row r="3" spans="26:48" hidden="1" x14ac:dyDescent="0.25">
      <c r="AB3" t="s">
        <v>21</v>
      </c>
      <c r="AC3" t="s">
        <v>22</v>
      </c>
      <c r="AD3" t="s">
        <v>23</v>
      </c>
      <c r="AE3" t="s">
        <v>24</v>
      </c>
      <c r="AF3" t="s">
        <v>25</v>
      </c>
      <c r="AG3" t="s">
        <v>26</v>
      </c>
      <c r="AH3" t="s">
        <v>27</v>
      </c>
      <c r="AI3" t="s">
        <v>28</v>
      </c>
      <c r="AJ3" t="s">
        <v>29</v>
      </c>
      <c r="AN3" t="s">
        <v>21</v>
      </c>
      <c r="AO3" t="s">
        <v>22</v>
      </c>
      <c r="AP3" t="s">
        <v>23</v>
      </c>
      <c r="AQ3" t="s">
        <v>24</v>
      </c>
      <c r="AR3" t="s">
        <v>25</v>
      </c>
      <c r="AS3" t="s">
        <v>26</v>
      </c>
      <c r="AT3" t="s">
        <v>27</v>
      </c>
      <c r="AU3" t="s">
        <v>28</v>
      </c>
      <c r="AV3" t="s">
        <v>29</v>
      </c>
    </row>
    <row r="4" spans="26:48" hidden="1" x14ac:dyDescent="0.25">
      <c r="AB4">
        <v>6</v>
      </c>
      <c r="AC4">
        <v>6</v>
      </c>
      <c r="AD4">
        <v>48</v>
      </c>
      <c r="AE4">
        <f>AB4*(2*AC4-1)*9</f>
        <v>594</v>
      </c>
      <c r="AF4">
        <v>320</v>
      </c>
      <c r="AG4">
        <v>399</v>
      </c>
      <c r="AH4">
        <v>330</v>
      </c>
      <c r="AI4">
        <v>343</v>
      </c>
      <c r="AJ4">
        <v>28.6</v>
      </c>
      <c r="AN4">
        <v>6</v>
      </c>
      <c r="AO4">
        <v>6</v>
      </c>
      <c r="AP4">
        <v>48</v>
      </c>
      <c r="AQ4">
        <f>AN4*(2*AO4-1)*9</f>
        <v>594</v>
      </c>
      <c r="AR4">
        <v>359</v>
      </c>
      <c r="AS4">
        <v>396</v>
      </c>
      <c r="AT4">
        <v>365</v>
      </c>
      <c r="AU4">
        <v>373</v>
      </c>
      <c r="AV4">
        <v>14</v>
      </c>
    </row>
    <row r="5" spans="26:48" hidden="1" x14ac:dyDescent="0.25">
      <c r="Z5" t="s">
        <v>0</v>
      </c>
      <c r="AA5">
        <v>1</v>
      </c>
      <c r="AB5">
        <v>9.2872286722634395E-2</v>
      </c>
      <c r="AC5">
        <v>1</v>
      </c>
      <c r="AD5">
        <v>0.47369136565456199</v>
      </c>
      <c r="AF5">
        <f>AF4/$AE$4</f>
        <v>0.53872053872053871</v>
      </c>
      <c r="AG5">
        <f>AG4/$AE$4</f>
        <v>0.67171717171717171</v>
      </c>
      <c r="AH5">
        <f>AH4/$AE$4</f>
        <v>0.55555555555555558</v>
      </c>
      <c r="AI5">
        <f>AI4/$AE$4</f>
        <v>0.57744107744107742</v>
      </c>
      <c r="AL5" t="s">
        <v>0</v>
      </c>
      <c r="AM5">
        <v>1</v>
      </c>
      <c r="AN5">
        <v>0.317548891935094</v>
      </c>
    </row>
    <row r="6" spans="26:48" hidden="1" x14ac:dyDescent="0.25">
      <c r="Z6" t="s">
        <v>1</v>
      </c>
      <c r="AA6">
        <v>2</v>
      </c>
      <c r="AB6">
        <v>0</v>
      </c>
      <c r="AC6">
        <v>0.38454559304522601</v>
      </c>
      <c r="AD6">
        <v>1</v>
      </c>
      <c r="AL6" t="s">
        <v>1</v>
      </c>
      <c r="AM6">
        <v>2</v>
      </c>
      <c r="AN6">
        <v>0.64751488956779002</v>
      </c>
    </row>
    <row r="7" spans="26:48" hidden="1" x14ac:dyDescent="0.25">
      <c r="Z7" t="s">
        <v>2</v>
      </c>
      <c r="AA7">
        <v>3</v>
      </c>
      <c r="AB7">
        <v>0.368088357722273</v>
      </c>
      <c r="AC7">
        <v>1</v>
      </c>
      <c r="AD7">
        <v>0</v>
      </c>
      <c r="AL7" t="s">
        <v>2</v>
      </c>
      <c r="AM7">
        <v>3</v>
      </c>
      <c r="AN7">
        <v>0</v>
      </c>
    </row>
    <row r="8" spans="26:48" hidden="1" x14ac:dyDescent="0.25">
      <c r="Z8" t="s">
        <v>3</v>
      </c>
      <c r="AA8">
        <v>4</v>
      </c>
      <c r="AB8">
        <v>0.225431907975331</v>
      </c>
      <c r="AC8">
        <v>1</v>
      </c>
      <c r="AD8">
        <v>0.168229352966864</v>
      </c>
      <c r="AL8" t="s">
        <v>3</v>
      </c>
      <c r="AM8">
        <v>4</v>
      </c>
      <c r="AN8">
        <v>0</v>
      </c>
    </row>
    <row r="9" spans="26:48" hidden="1" x14ac:dyDescent="0.25">
      <c r="Z9" t="s">
        <v>4</v>
      </c>
      <c r="AA9">
        <v>5</v>
      </c>
      <c r="AB9">
        <v>1</v>
      </c>
      <c r="AC9">
        <v>1</v>
      </c>
      <c r="AD9">
        <v>0.47213115083521601</v>
      </c>
      <c r="AL9" t="s">
        <v>4</v>
      </c>
      <c r="AM9">
        <v>5</v>
      </c>
      <c r="AN9">
        <v>0.69177404393543096</v>
      </c>
    </row>
    <row r="10" spans="26:48" hidden="1" x14ac:dyDescent="0.25">
      <c r="Z10" t="s">
        <v>5</v>
      </c>
      <c r="AA10">
        <v>6</v>
      </c>
      <c r="AB10">
        <v>0.742770523053774</v>
      </c>
      <c r="AC10">
        <v>0.88292302922912203</v>
      </c>
      <c r="AD10">
        <v>0.642929778392625</v>
      </c>
      <c r="AL10" t="s">
        <v>5</v>
      </c>
      <c r="AM10">
        <v>6</v>
      </c>
      <c r="AN10">
        <v>1</v>
      </c>
    </row>
    <row r="11" spans="26:48" hidden="1" x14ac:dyDescent="0.25">
      <c r="Z11" t="s">
        <v>6</v>
      </c>
      <c r="AA11">
        <v>7</v>
      </c>
      <c r="AB11">
        <v>1</v>
      </c>
      <c r="AC11">
        <v>1</v>
      </c>
      <c r="AD11">
        <v>0.38877236605538801</v>
      </c>
      <c r="AL11" t="s">
        <v>6</v>
      </c>
      <c r="AM11">
        <v>7</v>
      </c>
      <c r="AN11">
        <v>0</v>
      </c>
    </row>
    <row r="12" spans="26:48" hidden="1" x14ac:dyDescent="0.25">
      <c r="Z12" t="s">
        <v>7</v>
      </c>
      <c r="AA12">
        <v>8</v>
      </c>
      <c r="AB12">
        <v>0.26815544115863499</v>
      </c>
      <c r="AC12">
        <v>0.293708772736336</v>
      </c>
      <c r="AD12">
        <v>0.10808054278621</v>
      </c>
      <c r="AL12" t="s">
        <v>7</v>
      </c>
      <c r="AM12">
        <v>8</v>
      </c>
      <c r="AN12">
        <v>0</v>
      </c>
    </row>
    <row r="13" spans="26:48" hidden="1" x14ac:dyDescent="0.25">
      <c r="Z13" t="s">
        <v>8</v>
      </c>
      <c r="AA13">
        <v>9</v>
      </c>
      <c r="AB13">
        <v>0</v>
      </c>
      <c r="AC13">
        <v>0.83437972905337399</v>
      </c>
      <c r="AD13">
        <v>0.54211018601006</v>
      </c>
      <c r="AL13" t="s">
        <v>8</v>
      </c>
      <c r="AM13">
        <v>9</v>
      </c>
      <c r="AN13">
        <v>0.81279056249775605</v>
      </c>
    </row>
    <row r="14" spans="26:48" hidden="1" x14ac:dyDescent="0.25">
      <c r="Z14" t="s">
        <v>9</v>
      </c>
      <c r="AA14">
        <v>10</v>
      </c>
      <c r="AB14">
        <v>0.61506488553775396</v>
      </c>
      <c r="AC14">
        <v>0</v>
      </c>
      <c r="AD14">
        <v>0.52233813871724</v>
      </c>
      <c r="AL14" t="s">
        <v>9</v>
      </c>
      <c r="AM14">
        <v>10</v>
      </c>
      <c r="AN14">
        <v>0.20562552504095499</v>
      </c>
    </row>
    <row r="15" spans="26:48" hidden="1" x14ac:dyDescent="0.25">
      <c r="Z15" t="s">
        <v>10</v>
      </c>
      <c r="AA15">
        <v>11</v>
      </c>
      <c r="AB15">
        <v>0.82595673930796198</v>
      </c>
      <c r="AC15">
        <v>0</v>
      </c>
      <c r="AD15">
        <v>0</v>
      </c>
      <c r="AL15" t="s">
        <v>10</v>
      </c>
      <c r="AM15">
        <v>11</v>
      </c>
      <c r="AN15">
        <v>1</v>
      </c>
    </row>
    <row r="16" spans="26:48" hidden="1" x14ac:dyDescent="0.25">
      <c r="Z16" t="s">
        <v>11</v>
      </c>
      <c r="AA16">
        <v>12</v>
      </c>
      <c r="AB16">
        <v>1</v>
      </c>
      <c r="AC16">
        <v>1</v>
      </c>
      <c r="AD16">
        <v>0.53155028105659896</v>
      </c>
      <c r="AL16" t="s">
        <v>11</v>
      </c>
      <c r="AM16">
        <v>12</v>
      </c>
      <c r="AN16">
        <v>0.31668524131750803</v>
      </c>
    </row>
    <row r="17" spans="3:47" hidden="1" x14ac:dyDescent="0.25">
      <c r="Z17" t="s">
        <v>12</v>
      </c>
      <c r="AA17">
        <v>13</v>
      </c>
      <c r="AB17">
        <v>1</v>
      </c>
      <c r="AC17">
        <v>0</v>
      </c>
      <c r="AD17">
        <v>5.2149913767948697E-2</v>
      </c>
      <c r="AL17" t="s">
        <v>12</v>
      </c>
      <c r="AM17">
        <v>13</v>
      </c>
      <c r="AN17">
        <v>0.77530369419001599</v>
      </c>
    </row>
    <row r="18" spans="3:47" hidden="1" x14ac:dyDescent="0.25">
      <c r="Z18" t="s">
        <v>13</v>
      </c>
      <c r="AA18">
        <v>14</v>
      </c>
      <c r="AB18">
        <v>1</v>
      </c>
      <c r="AC18">
        <v>0.830118921284414</v>
      </c>
      <c r="AD18">
        <v>0</v>
      </c>
      <c r="AL18" t="s">
        <v>13</v>
      </c>
      <c r="AM18">
        <v>14</v>
      </c>
      <c r="AN18">
        <v>1</v>
      </c>
    </row>
    <row r="19" spans="3:47" hidden="1" x14ac:dyDescent="0.25">
      <c r="Z19" t="s">
        <v>14</v>
      </c>
      <c r="AA19">
        <v>15</v>
      </c>
      <c r="AB19">
        <v>0.90347083464223998</v>
      </c>
      <c r="AC19">
        <v>0.61614505749220605</v>
      </c>
      <c r="AD19">
        <v>0.877995312221027</v>
      </c>
      <c r="AL19" t="s">
        <v>14</v>
      </c>
      <c r="AM19">
        <v>15</v>
      </c>
      <c r="AN19">
        <v>1</v>
      </c>
    </row>
    <row r="20" spans="3:47" hidden="1" x14ac:dyDescent="0.25">
      <c r="Z20" t="s">
        <v>15</v>
      </c>
      <c r="AA20">
        <v>16</v>
      </c>
      <c r="AB20">
        <v>0</v>
      </c>
      <c r="AC20">
        <v>0.52651173313330801</v>
      </c>
      <c r="AD20">
        <v>0.51558395370429899</v>
      </c>
      <c r="AL20" t="s">
        <v>15</v>
      </c>
      <c r="AM20">
        <v>16</v>
      </c>
      <c r="AN20">
        <v>0</v>
      </c>
    </row>
    <row r="21" spans="3:47" hidden="1" x14ac:dyDescent="0.25">
      <c r="Z21" t="s">
        <v>16</v>
      </c>
      <c r="AA21">
        <v>17</v>
      </c>
      <c r="AB21">
        <v>1</v>
      </c>
      <c r="AC21">
        <v>0</v>
      </c>
      <c r="AD21">
        <v>0.29327208923339798</v>
      </c>
      <c r="AL21" t="s">
        <v>16</v>
      </c>
      <c r="AM21">
        <v>17</v>
      </c>
      <c r="AN21">
        <v>0</v>
      </c>
    </row>
    <row r="22" spans="3:47" hidden="1" x14ac:dyDescent="0.25">
      <c r="Z22" t="s">
        <v>17</v>
      </c>
      <c r="AA22">
        <v>18</v>
      </c>
      <c r="AB22">
        <v>1</v>
      </c>
      <c r="AC22">
        <v>1</v>
      </c>
      <c r="AD22">
        <v>1</v>
      </c>
      <c r="AL22" t="s">
        <v>17</v>
      </c>
      <c r="AM22">
        <v>18</v>
      </c>
      <c r="AN22">
        <v>0</v>
      </c>
    </row>
    <row r="23" spans="3:47" hidden="1" x14ac:dyDescent="0.25">
      <c r="Z23" t="s">
        <v>18</v>
      </c>
      <c r="AA23">
        <v>19</v>
      </c>
      <c r="AB23">
        <v>0.63546534655342302</v>
      </c>
      <c r="AC23">
        <v>0</v>
      </c>
      <c r="AD23">
        <v>0.70871684158454296</v>
      </c>
      <c r="AL23" t="s">
        <v>18</v>
      </c>
      <c r="AM23">
        <v>19</v>
      </c>
      <c r="AN23">
        <v>1</v>
      </c>
    </row>
    <row r="24" spans="3:47" hidden="1" x14ac:dyDescent="0.25">
      <c r="Z24" t="s">
        <v>19</v>
      </c>
      <c r="AA24">
        <v>20</v>
      </c>
      <c r="AB24">
        <v>1</v>
      </c>
      <c r="AC24">
        <v>1</v>
      </c>
      <c r="AD24">
        <v>1</v>
      </c>
      <c r="AL24" t="s">
        <v>19</v>
      </c>
      <c r="AM24">
        <v>20</v>
      </c>
      <c r="AN24">
        <v>4.1051186745478002E-2</v>
      </c>
    </row>
    <row r="25" spans="3:47" hidden="1" x14ac:dyDescent="0.25">
      <c r="Z25" t="s">
        <v>20</v>
      </c>
      <c r="AA25">
        <v>21</v>
      </c>
      <c r="AB25">
        <v>0.16263872118230699</v>
      </c>
      <c r="AC25">
        <v>1</v>
      </c>
      <c r="AD25">
        <v>0.34528641978740898</v>
      </c>
      <c r="AL25" t="s">
        <v>20</v>
      </c>
      <c r="AM25">
        <v>21</v>
      </c>
      <c r="AN25">
        <v>0.79065162811592204</v>
      </c>
    </row>
    <row r="26" spans="3:47" hidden="1" x14ac:dyDescent="0.25"/>
    <row r="27" spans="3:47" hidden="1" x14ac:dyDescent="0.25"/>
    <row r="28" spans="3:47" hidden="1" x14ac:dyDescent="0.25"/>
    <row r="29" spans="3:47" x14ac:dyDescent="0.25">
      <c r="C29" s="5" t="s">
        <v>32</v>
      </c>
      <c r="D29" s="5"/>
      <c r="E29" s="5"/>
      <c r="F29" s="5"/>
      <c r="G29" s="5"/>
      <c r="H29" s="5"/>
      <c r="I29" s="5"/>
      <c r="J29" s="5"/>
      <c r="K29" s="5"/>
      <c r="O29" s="5" t="s">
        <v>31</v>
      </c>
      <c r="P29" s="5"/>
      <c r="Q29" s="5"/>
      <c r="R29" s="5"/>
      <c r="S29" s="5"/>
      <c r="T29" s="5"/>
      <c r="U29" s="5"/>
      <c r="V29" s="5"/>
      <c r="W29" s="5"/>
      <c r="AA29" s="5" t="s">
        <v>30</v>
      </c>
      <c r="AB29" s="5"/>
      <c r="AC29" s="5"/>
      <c r="AD29" s="5"/>
      <c r="AE29" s="5"/>
      <c r="AF29" s="5"/>
      <c r="AG29" s="5"/>
      <c r="AH29" s="5"/>
      <c r="AI29" s="5"/>
      <c r="AM29" s="5" t="s">
        <v>49</v>
      </c>
      <c r="AN29" s="5"/>
      <c r="AO29" s="5"/>
      <c r="AP29" s="5"/>
      <c r="AQ29" s="5"/>
      <c r="AR29" s="5"/>
      <c r="AS29" s="5"/>
      <c r="AT29" s="5"/>
      <c r="AU29" s="5"/>
    </row>
    <row r="30" spans="3:47" x14ac:dyDescent="0.25">
      <c r="C30" s="5"/>
      <c r="D30" s="5"/>
      <c r="E30" s="5"/>
      <c r="F30" s="5"/>
      <c r="G30" s="5"/>
      <c r="H30" s="5"/>
      <c r="I30" s="5"/>
      <c r="J30" s="5"/>
      <c r="K30" s="5"/>
      <c r="O30" s="5"/>
      <c r="P30" s="5"/>
      <c r="Q30" s="5"/>
      <c r="R30" s="5"/>
      <c r="S30" s="5"/>
      <c r="T30" s="5"/>
      <c r="U30" s="5"/>
      <c r="V30" s="5"/>
      <c r="W30" s="5"/>
      <c r="AA30" s="5"/>
      <c r="AB30" s="5"/>
      <c r="AC30" s="5"/>
      <c r="AD30" s="5"/>
      <c r="AE30" s="5"/>
      <c r="AF30" s="5"/>
      <c r="AG30" s="5"/>
      <c r="AH30" s="5"/>
      <c r="AI30" s="5"/>
      <c r="AM30" s="5"/>
      <c r="AN30" s="5"/>
      <c r="AO30" s="5"/>
      <c r="AP30" s="5"/>
      <c r="AQ30" s="5"/>
      <c r="AR30" s="5"/>
      <c r="AS30" s="5"/>
      <c r="AT30" s="5"/>
      <c r="AU30" s="5"/>
    </row>
    <row r="31" spans="3:47" x14ac:dyDescent="0.25">
      <c r="C31" t="s">
        <v>21</v>
      </c>
      <c r="D31" t="s">
        <v>22</v>
      </c>
      <c r="E31" t="s">
        <v>23</v>
      </c>
      <c r="F31" t="s">
        <v>24</v>
      </c>
      <c r="G31" t="s">
        <v>25</v>
      </c>
      <c r="H31" t="s">
        <v>26</v>
      </c>
      <c r="I31" t="s">
        <v>27</v>
      </c>
      <c r="J31" t="s">
        <v>28</v>
      </c>
      <c r="K31" t="s">
        <v>29</v>
      </c>
      <c r="O31" t="s">
        <v>21</v>
      </c>
      <c r="P31" t="s">
        <v>22</v>
      </c>
      <c r="Q31" t="s">
        <v>23</v>
      </c>
      <c r="R31" t="s">
        <v>24</v>
      </c>
      <c r="S31" t="s">
        <v>25</v>
      </c>
      <c r="T31" t="s">
        <v>26</v>
      </c>
      <c r="U31" t="s">
        <v>27</v>
      </c>
      <c r="V31" t="s">
        <v>28</v>
      </c>
      <c r="W31" t="s">
        <v>29</v>
      </c>
      <c r="AA31" t="s">
        <v>21</v>
      </c>
      <c r="AB31" t="s">
        <v>22</v>
      </c>
      <c r="AC31" t="s">
        <v>23</v>
      </c>
      <c r="AD31" t="s">
        <v>24</v>
      </c>
      <c r="AE31" t="s">
        <v>25</v>
      </c>
      <c r="AF31" t="s">
        <v>26</v>
      </c>
      <c r="AG31" t="s">
        <v>27</v>
      </c>
      <c r="AH31" t="s">
        <v>28</v>
      </c>
      <c r="AI31" t="s">
        <v>29</v>
      </c>
      <c r="AM31" t="s">
        <v>21</v>
      </c>
      <c r="AN31" t="s">
        <v>22</v>
      </c>
      <c r="AO31" t="s">
        <v>23</v>
      </c>
      <c r="AP31" t="s">
        <v>24</v>
      </c>
      <c r="AQ31" t="s">
        <v>25</v>
      </c>
      <c r="AR31" t="s">
        <v>26</v>
      </c>
      <c r="AS31" t="s">
        <v>27</v>
      </c>
      <c r="AT31" t="s">
        <v>28</v>
      </c>
      <c r="AU31" t="s">
        <v>29</v>
      </c>
    </row>
    <row r="32" spans="3:47" x14ac:dyDescent="0.25">
      <c r="C32">
        <v>20</v>
      </c>
      <c r="D32">
        <v>10</v>
      </c>
      <c r="E32">
        <v>1000</v>
      </c>
      <c r="F32">
        <f>C32*(2*D32-1)*9</f>
        <v>3420</v>
      </c>
      <c r="O32">
        <v>8</v>
      </c>
      <c r="P32">
        <v>8</v>
      </c>
      <c r="Q32">
        <v>200</v>
      </c>
      <c r="R32">
        <f>O32*(2*P32-1)*9</f>
        <v>1080</v>
      </c>
      <c r="S32">
        <v>552</v>
      </c>
      <c r="T32">
        <v>597</v>
      </c>
      <c r="U32">
        <v>566</v>
      </c>
      <c r="V32">
        <v>570</v>
      </c>
      <c r="W32">
        <v>14</v>
      </c>
      <c r="AA32">
        <v>8</v>
      </c>
      <c r="AB32">
        <v>8</v>
      </c>
      <c r="AC32">
        <v>200</v>
      </c>
      <c r="AD32">
        <f>AA32*(2*AB32-1)*9</f>
        <v>1080</v>
      </c>
      <c r="AE32">
        <v>639</v>
      </c>
      <c r="AF32">
        <v>697</v>
      </c>
      <c r="AG32">
        <v>679</v>
      </c>
      <c r="AH32">
        <v>675</v>
      </c>
      <c r="AI32">
        <v>19</v>
      </c>
      <c r="AM32">
        <v>8</v>
      </c>
      <c r="AN32">
        <v>8</v>
      </c>
      <c r="AO32">
        <v>200</v>
      </c>
      <c r="AP32">
        <f>AM32*(2*AN32-1)*9</f>
        <v>1080</v>
      </c>
      <c r="AQ32">
        <v>320</v>
      </c>
      <c r="AR32">
        <v>399</v>
      </c>
      <c r="AS32">
        <v>330</v>
      </c>
      <c r="AT32">
        <v>343</v>
      </c>
      <c r="AU32">
        <v>28.6</v>
      </c>
    </row>
    <row r="33" spans="1:46" x14ac:dyDescent="0.25">
      <c r="A33" t="s">
        <v>0</v>
      </c>
      <c r="B33">
        <v>1</v>
      </c>
      <c r="C33">
        <v>0.33831719711374802</v>
      </c>
      <c r="M33" t="s">
        <v>0</v>
      </c>
      <c r="N33">
        <v>1</v>
      </c>
      <c r="O33">
        <v>0.46481172050390501</v>
      </c>
      <c r="Y33" t="s">
        <v>0</v>
      </c>
      <c r="Z33">
        <v>1</v>
      </c>
      <c r="AA33">
        <v>0</v>
      </c>
      <c r="AB33">
        <v>0.19198247655645401</v>
      </c>
      <c r="AC33">
        <v>0.49100855530030002</v>
      </c>
      <c r="AE33">
        <f>AE32/$AD$32</f>
        <v>0.59166666666666667</v>
      </c>
      <c r="AF33">
        <f>AF32/$AD$32</f>
        <v>0.64537037037037037</v>
      </c>
      <c r="AG33">
        <f>AG32/$AD$32</f>
        <v>0.62870370370370365</v>
      </c>
      <c r="AH33">
        <f>AH32/$AD$32</f>
        <v>0.625</v>
      </c>
      <c r="AK33" t="s">
        <v>0</v>
      </c>
      <c r="AL33">
        <v>1</v>
      </c>
      <c r="AM33" t="s">
        <v>33</v>
      </c>
      <c r="AQ33">
        <f>AQ32/$AE$4</f>
        <v>0.53872053872053871</v>
      </c>
      <c r="AR33">
        <f>AR32/$AE$4</f>
        <v>0.67171717171717171</v>
      </c>
      <c r="AS33">
        <f>AS32/$AE$4</f>
        <v>0.55555555555555558</v>
      </c>
      <c r="AT33">
        <f>AT32/$AE$4</f>
        <v>0.57744107744107742</v>
      </c>
    </row>
    <row r="34" spans="1:46" x14ac:dyDescent="0.25">
      <c r="A34" t="s">
        <v>1</v>
      </c>
      <c r="B34">
        <v>2</v>
      </c>
      <c r="C34">
        <v>0.93466713178917704</v>
      </c>
      <c r="M34" t="s">
        <v>1</v>
      </c>
      <c r="N34">
        <v>2</v>
      </c>
      <c r="O34">
        <v>0.95701014128878603</v>
      </c>
      <c r="Y34" t="s">
        <v>1</v>
      </c>
      <c r="Z34">
        <v>2</v>
      </c>
      <c r="AA34">
        <v>0.838073450710207</v>
      </c>
      <c r="AB34">
        <v>0.55211593477965504</v>
      </c>
      <c r="AC34">
        <v>1</v>
      </c>
      <c r="AK34" t="s">
        <v>1</v>
      </c>
      <c r="AL34">
        <v>2</v>
      </c>
      <c r="AM34" t="s">
        <v>34</v>
      </c>
    </row>
    <row r="35" spans="1:46" x14ac:dyDescent="0.25">
      <c r="A35" t="s">
        <v>2</v>
      </c>
      <c r="B35">
        <v>3</v>
      </c>
      <c r="C35">
        <v>9.3176192652155904E-2</v>
      </c>
      <c r="M35" t="s">
        <v>2</v>
      </c>
      <c r="N35">
        <v>3</v>
      </c>
      <c r="O35">
        <v>4.0338325912406797E-2</v>
      </c>
      <c r="Y35" t="s">
        <v>2</v>
      </c>
      <c r="Z35">
        <v>3</v>
      </c>
      <c r="AA35">
        <v>0.36941805210713202</v>
      </c>
      <c r="AB35">
        <v>0.31587989147309198</v>
      </c>
      <c r="AC35">
        <v>0</v>
      </c>
      <c r="AK35" t="s">
        <v>2</v>
      </c>
      <c r="AL35">
        <v>3</v>
      </c>
      <c r="AM35" t="s">
        <v>35</v>
      </c>
    </row>
    <row r="36" spans="1:46" x14ac:dyDescent="0.25">
      <c r="A36" t="s">
        <v>3</v>
      </c>
      <c r="B36">
        <v>4</v>
      </c>
      <c r="C36">
        <v>0</v>
      </c>
      <c r="M36" t="s">
        <v>3</v>
      </c>
      <c r="N36">
        <v>4</v>
      </c>
      <c r="O36">
        <v>0.677012620405402</v>
      </c>
      <c r="Y36" t="s">
        <v>3</v>
      </c>
      <c r="Z36">
        <v>4</v>
      </c>
      <c r="AA36">
        <v>0.772175920311859</v>
      </c>
      <c r="AB36">
        <v>1</v>
      </c>
      <c r="AC36">
        <v>0.58455943867066595</v>
      </c>
      <c r="AK36" t="s">
        <v>3</v>
      </c>
      <c r="AL36">
        <v>4</v>
      </c>
      <c r="AM36" t="s">
        <v>35</v>
      </c>
    </row>
    <row r="37" spans="1:46" x14ac:dyDescent="0.25">
      <c r="A37" t="s">
        <v>4</v>
      </c>
      <c r="B37">
        <v>5</v>
      </c>
      <c r="C37">
        <v>0.75109902463000799</v>
      </c>
      <c r="M37" t="s">
        <v>4</v>
      </c>
      <c r="N37">
        <v>5</v>
      </c>
      <c r="O37">
        <v>0.33208831368657299</v>
      </c>
      <c r="Y37" t="s">
        <v>4</v>
      </c>
      <c r="Z37">
        <v>5</v>
      </c>
      <c r="AA37">
        <v>0.61234593074099897</v>
      </c>
      <c r="AB37">
        <v>0.73213136938490797</v>
      </c>
      <c r="AC37">
        <v>0.92934986309094703</v>
      </c>
      <c r="AK37" t="s">
        <v>4</v>
      </c>
      <c r="AL37">
        <v>5</v>
      </c>
      <c r="AM37" t="s">
        <v>34</v>
      </c>
    </row>
    <row r="38" spans="1:46" x14ac:dyDescent="0.25">
      <c r="A38" t="s">
        <v>5</v>
      </c>
      <c r="B38">
        <v>6</v>
      </c>
      <c r="C38">
        <v>1</v>
      </c>
      <c r="M38" t="s">
        <v>5</v>
      </c>
      <c r="N38">
        <v>6</v>
      </c>
      <c r="O38">
        <v>0.59926490401127697</v>
      </c>
      <c r="Y38" t="s">
        <v>5</v>
      </c>
      <c r="Z38">
        <v>6</v>
      </c>
      <c r="AA38">
        <v>0</v>
      </c>
      <c r="AB38">
        <v>0.87278090936615105</v>
      </c>
      <c r="AC38">
        <v>0.54118926815228496</v>
      </c>
      <c r="AK38" t="s">
        <v>5</v>
      </c>
      <c r="AL38">
        <v>6</v>
      </c>
      <c r="AM38" t="s">
        <v>34</v>
      </c>
    </row>
    <row r="39" spans="1:46" x14ac:dyDescent="0.25">
      <c r="A39" t="s">
        <v>6</v>
      </c>
      <c r="B39">
        <v>7</v>
      </c>
      <c r="C39">
        <v>0.96184788633787499</v>
      </c>
      <c r="M39" t="s">
        <v>6</v>
      </c>
      <c r="N39">
        <v>7</v>
      </c>
      <c r="O39">
        <v>0</v>
      </c>
      <c r="Y39" t="s">
        <v>6</v>
      </c>
      <c r="Z39">
        <v>7</v>
      </c>
      <c r="AA39">
        <v>1</v>
      </c>
      <c r="AB39">
        <v>0.628300921357689</v>
      </c>
      <c r="AC39">
        <v>1</v>
      </c>
      <c r="AK39" t="s">
        <v>6</v>
      </c>
      <c r="AL39">
        <v>7</v>
      </c>
      <c r="AM39" t="s">
        <v>34</v>
      </c>
    </row>
    <row r="40" spans="1:46" x14ac:dyDescent="0.25">
      <c r="A40" t="s">
        <v>7</v>
      </c>
      <c r="B40">
        <v>8</v>
      </c>
      <c r="C40">
        <v>0</v>
      </c>
      <c r="M40" t="s">
        <v>7</v>
      </c>
      <c r="N40">
        <v>8</v>
      </c>
      <c r="O40">
        <v>0</v>
      </c>
      <c r="Y40" t="s">
        <v>7</v>
      </c>
      <c r="Z40">
        <v>8</v>
      </c>
      <c r="AA40">
        <v>0.27929680791088402</v>
      </c>
      <c r="AB40">
        <v>0.61444571634723699</v>
      </c>
      <c r="AC40">
        <v>0</v>
      </c>
      <c r="AK40" t="s">
        <v>7</v>
      </c>
      <c r="AL40">
        <v>8</v>
      </c>
      <c r="AM40" t="s">
        <v>35</v>
      </c>
    </row>
    <row r="41" spans="1:46" x14ac:dyDescent="0.25">
      <c r="A41" t="s">
        <v>8</v>
      </c>
      <c r="B41">
        <v>9</v>
      </c>
      <c r="C41">
        <v>1</v>
      </c>
      <c r="M41" t="s">
        <v>8</v>
      </c>
      <c r="N41">
        <v>9</v>
      </c>
      <c r="O41">
        <v>1</v>
      </c>
      <c r="Y41" t="s">
        <v>8</v>
      </c>
      <c r="Z41">
        <v>9</v>
      </c>
      <c r="AA41">
        <v>1</v>
      </c>
      <c r="AB41">
        <v>1</v>
      </c>
      <c r="AC41">
        <v>0</v>
      </c>
      <c r="AK41" t="s">
        <v>8</v>
      </c>
      <c r="AL41">
        <v>9</v>
      </c>
      <c r="AM41" t="s">
        <v>36</v>
      </c>
    </row>
    <row r="42" spans="1:46" x14ac:dyDescent="0.25">
      <c r="A42" t="s">
        <v>9</v>
      </c>
      <c r="B42">
        <v>10</v>
      </c>
      <c r="C42">
        <v>0.55293794800527796</v>
      </c>
      <c r="M42" t="s">
        <v>9</v>
      </c>
      <c r="N42">
        <v>10</v>
      </c>
      <c r="O42">
        <v>1</v>
      </c>
      <c r="Y42" t="s">
        <v>9</v>
      </c>
      <c r="Z42">
        <v>10</v>
      </c>
      <c r="AA42">
        <v>3.9908815338230499E-2</v>
      </c>
      <c r="AB42">
        <v>0.75212734630880296</v>
      </c>
      <c r="AC42">
        <v>0.97891183984548202</v>
      </c>
      <c r="AK42" t="s">
        <v>9</v>
      </c>
      <c r="AL42">
        <v>10</v>
      </c>
      <c r="AM42" t="s">
        <v>34</v>
      </c>
    </row>
    <row r="43" spans="1:46" x14ac:dyDescent="0.25">
      <c r="A43" t="s">
        <v>10</v>
      </c>
      <c r="B43">
        <v>11</v>
      </c>
      <c r="C43">
        <v>0.59671345821399002</v>
      </c>
      <c r="M43" t="s">
        <v>10</v>
      </c>
      <c r="N43">
        <v>11</v>
      </c>
      <c r="O43">
        <v>1</v>
      </c>
      <c r="Y43" t="s">
        <v>10</v>
      </c>
      <c r="Z43">
        <v>11</v>
      </c>
      <c r="AA43">
        <v>0.93716941113188901</v>
      </c>
      <c r="AB43">
        <v>0.80085905871032503</v>
      </c>
      <c r="AC43">
        <v>0.70836181684858202</v>
      </c>
      <c r="AK43" t="s">
        <v>10</v>
      </c>
      <c r="AL43">
        <v>11</v>
      </c>
      <c r="AM43" t="s">
        <v>37</v>
      </c>
    </row>
    <row r="44" spans="1:46" x14ac:dyDescent="0.25">
      <c r="A44" t="s">
        <v>11</v>
      </c>
      <c r="B44">
        <v>12</v>
      </c>
      <c r="C44">
        <v>0</v>
      </c>
      <c r="M44" t="s">
        <v>11</v>
      </c>
      <c r="N44">
        <v>12</v>
      </c>
      <c r="O44">
        <v>9.11049655758914E-2</v>
      </c>
      <c r="Y44" t="s">
        <v>11</v>
      </c>
      <c r="Z44">
        <v>12</v>
      </c>
      <c r="AA44">
        <v>1</v>
      </c>
      <c r="AB44">
        <v>0.80573120255910602</v>
      </c>
      <c r="AC44">
        <v>1</v>
      </c>
      <c r="AK44" t="s">
        <v>11</v>
      </c>
      <c r="AL44">
        <v>12</v>
      </c>
      <c r="AM44" t="s">
        <v>34</v>
      </c>
    </row>
    <row r="45" spans="1:46" x14ac:dyDescent="0.25">
      <c r="A45" t="s">
        <v>12</v>
      </c>
      <c r="B45">
        <v>13</v>
      </c>
      <c r="C45">
        <v>1</v>
      </c>
      <c r="M45" t="s">
        <v>12</v>
      </c>
      <c r="N45">
        <v>13</v>
      </c>
      <c r="O45">
        <v>0.68448470799606498</v>
      </c>
      <c r="Y45" t="s">
        <v>12</v>
      </c>
      <c r="Z45">
        <v>13</v>
      </c>
      <c r="AA45">
        <v>0.62226011233405598</v>
      </c>
      <c r="AB45">
        <v>0.24495123880841299</v>
      </c>
      <c r="AC45">
        <v>0.182623231124625</v>
      </c>
      <c r="AK45" t="s">
        <v>12</v>
      </c>
      <c r="AL45">
        <v>13</v>
      </c>
      <c r="AM45" t="s">
        <v>35</v>
      </c>
    </row>
    <row r="46" spans="1:46" x14ac:dyDescent="0.25">
      <c r="A46" t="s">
        <v>13</v>
      </c>
      <c r="B46">
        <v>14</v>
      </c>
      <c r="C46">
        <v>0</v>
      </c>
      <c r="M46" t="s">
        <v>13</v>
      </c>
      <c r="N46">
        <v>14</v>
      </c>
      <c r="O46">
        <v>0.36973830370102601</v>
      </c>
      <c r="Y46" t="s">
        <v>13</v>
      </c>
      <c r="Z46">
        <v>14</v>
      </c>
      <c r="AA46">
        <v>0</v>
      </c>
      <c r="AB46">
        <v>0.70386338941854298</v>
      </c>
      <c r="AC46">
        <v>1.9490828755630799E-2</v>
      </c>
      <c r="AK46" t="s">
        <v>13</v>
      </c>
      <c r="AL46">
        <v>14</v>
      </c>
      <c r="AM46" t="s">
        <v>38</v>
      </c>
    </row>
    <row r="47" spans="1:46" x14ac:dyDescent="0.25">
      <c r="A47" t="s">
        <v>14</v>
      </c>
      <c r="B47">
        <v>15</v>
      </c>
      <c r="C47">
        <v>0</v>
      </c>
      <c r="M47" t="s">
        <v>14</v>
      </c>
      <c r="N47">
        <v>15</v>
      </c>
      <c r="O47">
        <v>0.32305280199563302</v>
      </c>
      <c r="Y47" t="s">
        <v>14</v>
      </c>
      <c r="Z47">
        <v>15</v>
      </c>
      <c r="AA47">
        <v>0.55344351954543602</v>
      </c>
      <c r="AB47">
        <v>0.45825830752039998</v>
      </c>
      <c r="AC47">
        <v>1</v>
      </c>
      <c r="AK47" t="s">
        <v>14</v>
      </c>
      <c r="AL47">
        <v>15</v>
      </c>
      <c r="AM47" t="s">
        <v>34</v>
      </c>
    </row>
    <row r="48" spans="1:46" x14ac:dyDescent="0.25">
      <c r="A48" t="s">
        <v>15</v>
      </c>
      <c r="B48">
        <v>16</v>
      </c>
      <c r="C48">
        <v>1</v>
      </c>
      <c r="M48" t="s">
        <v>15</v>
      </c>
      <c r="N48">
        <v>16</v>
      </c>
      <c r="O48">
        <v>1</v>
      </c>
      <c r="Y48" t="s">
        <v>15</v>
      </c>
      <c r="Z48">
        <v>16</v>
      </c>
      <c r="AA48">
        <v>0.78854921023547897</v>
      </c>
      <c r="AB48">
        <v>0.452925121989114</v>
      </c>
      <c r="AC48">
        <v>0.44366458342977</v>
      </c>
      <c r="AK48" t="s">
        <v>15</v>
      </c>
      <c r="AL48">
        <v>16</v>
      </c>
      <c r="AM48" t="s">
        <v>39</v>
      </c>
    </row>
    <row r="49" spans="1:81" x14ac:dyDescent="0.25">
      <c r="A49" t="s">
        <v>16</v>
      </c>
      <c r="B49">
        <v>17</v>
      </c>
      <c r="C49">
        <v>0</v>
      </c>
      <c r="M49" t="s">
        <v>16</v>
      </c>
      <c r="N49">
        <v>17</v>
      </c>
      <c r="O49">
        <v>0.19364469472391199</v>
      </c>
      <c r="Y49" t="s">
        <v>16</v>
      </c>
      <c r="Z49">
        <v>17</v>
      </c>
      <c r="AA49">
        <v>0.34360099288912299</v>
      </c>
      <c r="AB49">
        <v>6.6812968295917305E-2</v>
      </c>
      <c r="AC49">
        <v>0.63047058128913402</v>
      </c>
      <c r="AK49" t="s">
        <v>16</v>
      </c>
      <c r="AL49">
        <v>17</v>
      </c>
      <c r="AM49" t="s">
        <v>40</v>
      </c>
    </row>
    <row r="50" spans="1:81" x14ac:dyDescent="0.25">
      <c r="A50" t="s">
        <v>17</v>
      </c>
      <c r="B50">
        <v>18</v>
      </c>
      <c r="C50">
        <v>2.1401265694797498E-3</v>
      </c>
      <c r="M50" t="s">
        <v>17</v>
      </c>
      <c r="N50">
        <v>18</v>
      </c>
      <c r="O50">
        <v>1</v>
      </c>
      <c r="Y50" t="s">
        <v>17</v>
      </c>
      <c r="Z50">
        <v>18</v>
      </c>
      <c r="AA50">
        <v>0</v>
      </c>
      <c r="AB50">
        <v>0.80502004336037103</v>
      </c>
      <c r="AC50">
        <v>1</v>
      </c>
      <c r="AK50" t="s">
        <v>17</v>
      </c>
      <c r="AL50">
        <v>18</v>
      </c>
      <c r="AM50" t="s">
        <v>34</v>
      </c>
    </row>
    <row r="51" spans="1:81" x14ac:dyDescent="0.25">
      <c r="A51" t="s">
        <v>18</v>
      </c>
      <c r="B51">
        <v>19</v>
      </c>
      <c r="C51">
        <v>0.37166843346534201</v>
      </c>
      <c r="M51" t="s">
        <v>18</v>
      </c>
      <c r="N51">
        <v>19</v>
      </c>
      <c r="O51">
        <v>0.249525822645707</v>
      </c>
      <c r="Y51" t="s">
        <v>18</v>
      </c>
      <c r="Z51">
        <v>19</v>
      </c>
      <c r="AA51">
        <v>0.34378680064676098</v>
      </c>
      <c r="AB51">
        <v>0.64401180746632103</v>
      </c>
      <c r="AC51">
        <v>0</v>
      </c>
      <c r="AK51" t="s">
        <v>18</v>
      </c>
      <c r="AL51">
        <v>19</v>
      </c>
      <c r="AM51" t="s">
        <v>41</v>
      </c>
    </row>
    <row r="52" spans="1:81" x14ac:dyDescent="0.25">
      <c r="A52" t="s">
        <v>19</v>
      </c>
      <c r="B52">
        <v>20</v>
      </c>
      <c r="C52">
        <v>0.16946907320228299</v>
      </c>
      <c r="M52" t="s">
        <v>19</v>
      </c>
      <c r="N52">
        <v>20</v>
      </c>
      <c r="O52">
        <v>0.35093652141041798</v>
      </c>
      <c r="Y52" t="s">
        <v>19</v>
      </c>
      <c r="Z52">
        <v>20</v>
      </c>
      <c r="AA52">
        <v>1</v>
      </c>
      <c r="AB52">
        <v>0.49353034105205401</v>
      </c>
      <c r="AC52">
        <v>1</v>
      </c>
      <c r="AK52" t="s">
        <v>19</v>
      </c>
      <c r="AL52">
        <v>20</v>
      </c>
      <c r="AM52" t="s">
        <v>42</v>
      </c>
    </row>
    <row r="53" spans="1:81" x14ac:dyDescent="0.25">
      <c r="A53" t="s">
        <v>20</v>
      </c>
      <c r="B53">
        <v>21</v>
      </c>
      <c r="C53">
        <v>0</v>
      </c>
      <c r="M53" t="s">
        <v>20</v>
      </c>
      <c r="N53">
        <v>21</v>
      </c>
      <c r="O53">
        <v>1</v>
      </c>
      <c r="Y53" t="s">
        <v>20</v>
      </c>
      <c r="Z53">
        <v>21</v>
      </c>
      <c r="AA53">
        <v>1</v>
      </c>
      <c r="AB53">
        <v>0.67642988188158204</v>
      </c>
      <c r="AC53">
        <v>0.48637135820387001</v>
      </c>
      <c r="AK53" t="s">
        <v>20</v>
      </c>
      <c r="AL53">
        <v>21</v>
      </c>
      <c r="AM53" t="s">
        <v>43</v>
      </c>
    </row>
    <row r="54" spans="1:81" x14ac:dyDescent="0.25">
      <c r="AK54" t="s">
        <v>55</v>
      </c>
      <c r="AL54">
        <v>22</v>
      </c>
      <c r="AM54" t="s">
        <v>44</v>
      </c>
    </row>
    <row r="55" spans="1:81" x14ac:dyDescent="0.25">
      <c r="AK55" t="s">
        <v>54</v>
      </c>
      <c r="AL55">
        <v>23</v>
      </c>
      <c r="AM55" t="s">
        <v>35</v>
      </c>
    </row>
    <row r="56" spans="1:81" x14ac:dyDescent="0.25">
      <c r="AK56" t="s">
        <v>53</v>
      </c>
      <c r="AL56">
        <v>24</v>
      </c>
      <c r="AM56" t="s">
        <v>45</v>
      </c>
    </row>
    <row r="57" spans="1:81" x14ac:dyDescent="0.25">
      <c r="AK57" t="s">
        <v>52</v>
      </c>
      <c r="AL57">
        <v>25</v>
      </c>
      <c r="AM57" t="s">
        <v>46</v>
      </c>
      <c r="AN57" s="1"/>
      <c r="AO57" s="1"/>
      <c r="AP57" s="1"/>
      <c r="AQ57" s="1"/>
      <c r="AR57" s="1"/>
      <c r="AS57" s="1"/>
      <c r="AT57" s="1"/>
      <c r="AU57" s="1"/>
    </row>
    <row r="58" spans="1:81" x14ac:dyDescent="0.25">
      <c r="AK58" t="s">
        <v>61</v>
      </c>
      <c r="AL58">
        <v>26</v>
      </c>
      <c r="AM58" t="s">
        <v>47</v>
      </c>
      <c r="AN58" s="1"/>
      <c r="AO58" s="1"/>
      <c r="AP58" s="1"/>
      <c r="AQ58" s="1"/>
      <c r="AR58" s="1"/>
      <c r="AS58" s="1"/>
      <c r="AT58" s="1"/>
      <c r="AU58" s="1"/>
    </row>
    <row r="59" spans="1:81" x14ac:dyDescent="0.25">
      <c r="AK59" t="s">
        <v>51</v>
      </c>
      <c r="AL59">
        <v>27</v>
      </c>
      <c r="AM59" t="s">
        <v>48</v>
      </c>
    </row>
    <row r="60" spans="1:81" x14ac:dyDescent="0.25">
      <c r="AK60" t="s">
        <v>50</v>
      </c>
      <c r="AL60">
        <v>28</v>
      </c>
      <c r="AM60" t="s">
        <v>34</v>
      </c>
    </row>
    <row r="63" spans="1:81" x14ac:dyDescent="0.25">
      <c r="Z63" t="s">
        <v>56</v>
      </c>
    </row>
    <row r="64" spans="1:81" x14ac:dyDescent="0.25">
      <c r="Z64" t="str" cm="1">
        <f t="array" ref="Z64:CC64">_xlfn.TEXTSPLIT(Z63,",")</f>
        <v>1</v>
      </c>
      <c r="AA64" t="str">
        <v xml:space="preserve"> 0.6947718807254298</v>
      </c>
      <c r="AB64" t="str">
        <v xml:space="preserve"> 0</v>
      </c>
      <c r="AC64" t="str">
        <v xml:space="preserve"> 1</v>
      </c>
      <c r="AD64" t="str">
        <v xml:space="preserve"> 1</v>
      </c>
      <c r="AE64" t="str">
        <v xml:space="preserve"> 1</v>
      </c>
      <c r="AF64" t="str">
        <v xml:space="preserve"> 1</v>
      </c>
      <c r="AG64" t="str">
        <v xml:space="preserve"> 0.0023681176217088123</v>
      </c>
      <c r="AH64" t="str">
        <v xml:space="preserve"> 0.819841829780082</v>
      </c>
      <c r="AI64" t="str">
        <v xml:space="preserve"> 1</v>
      </c>
      <c r="AJ64" t="str">
        <v xml:space="preserve"> 0.6393588145542547</v>
      </c>
      <c r="AK64" t="str">
        <v xml:space="preserve"> 0</v>
      </c>
      <c r="AL64" t="str">
        <v xml:space="preserve"> 1</v>
      </c>
      <c r="AM64" t="str">
        <v xml:space="preserve"> 1</v>
      </c>
      <c r="AN64" t="str">
        <v xml:space="preserve"> 0.7348143987296604</v>
      </c>
      <c r="AO64" t="str">
        <v xml:space="preserve"> 0</v>
      </c>
      <c r="AP64" t="str">
        <v xml:space="preserve"> 1</v>
      </c>
      <c r="AQ64" t="str">
        <v xml:space="preserve"> 0</v>
      </c>
      <c r="AR64" t="str">
        <v xml:space="preserve"> 0.9075011928413589</v>
      </c>
      <c r="AS64" t="str">
        <v xml:space="preserve"> 0</v>
      </c>
      <c r="AT64" t="str">
        <v xml:space="preserve"> 0</v>
      </c>
      <c r="AU64" t="str">
        <v xml:space="preserve"> 0</v>
      </c>
      <c r="AV64" t="str">
        <v xml:space="preserve"> 0.5412377673694595</v>
      </c>
      <c r="AW64" t="str">
        <v xml:space="preserve"> 1</v>
      </c>
      <c r="AX64" t="str">
        <v xml:space="preserve"> 0.5727954517400847</v>
      </c>
      <c r="AY64" t="str">
        <v xml:space="preserve"> 0</v>
      </c>
      <c r="AZ64" t="str">
        <v xml:space="preserve"> 0.49365151829555753</v>
      </c>
      <c r="BA64" t="str">
        <v xml:space="preserve"> 0.7269937306988813</v>
      </c>
      <c r="BB64" t="str">
        <v xml:space="preserve"> 0.3562782008793161</v>
      </c>
      <c r="BC64" t="str">
        <v xml:space="preserve"> 0.20765849497792258</v>
      </c>
      <c r="BD64" t="str">
        <v xml:space="preserve"> 0.4329184118009346</v>
      </c>
      <c r="BE64" t="str">
        <v xml:space="preserve"> 0.20231990886052761</v>
      </c>
      <c r="BF64" t="str">
        <v xml:space="preserve"> 0.26481783751479393</v>
      </c>
      <c r="BG64" t="str">
        <v xml:space="preserve"> 0.2085659227475723</v>
      </c>
      <c r="BH64" t="str">
        <v xml:space="preserve"> 0.21825337284384205</v>
      </c>
      <c r="BI64" t="str">
        <v xml:space="preserve"> 0.07440878872158506</v>
      </c>
      <c r="BJ64" t="str">
        <v xml:space="preserve"> 1.3844440078233675</v>
      </c>
      <c r="BK64" t="str">
        <v xml:space="preserve"> 0.6146720458287414</v>
      </c>
      <c r="BL64" t="str">
        <v xml:space="preserve"> 0.04157368736606137</v>
      </c>
      <c r="BM64" t="str">
        <v xml:space="preserve"> 0.5038025900470313</v>
      </c>
      <c r="BN64" t="str">
        <v xml:space="preserve"> 1.2118915407037785</v>
      </c>
      <c r="BO64" t="str">
        <v xml:space="preserve"> 0.8364613564199238</v>
      </c>
      <c r="BP64" t="str">
        <v xml:space="preserve"> 0.5844320052672438</v>
      </c>
      <c r="BQ64" t="str">
        <v xml:space="preserve"> 2.098944719549955</v>
      </c>
      <c r="BR64" t="str">
        <v xml:space="preserve"> 1.5305939667372708</v>
      </c>
      <c r="BS64" t="str">
        <v xml:space="preserve"> 1.5922771989406157</v>
      </c>
      <c r="BT64" t="str">
        <v xml:space="preserve"> 0.13705811269215817</v>
      </c>
      <c r="BU64" t="str">
        <v xml:space="preserve"> 1.7918234237636885</v>
      </c>
      <c r="BV64" t="str">
        <v xml:space="preserve"> 2.318527972789336</v>
      </c>
      <c r="BW64" t="str">
        <v xml:space="preserve"> 0.4081542884318773</v>
      </c>
      <c r="BX64" t="str">
        <v xml:space="preserve"> 0.7384944167972799</v>
      </c>
      <c r="BY64" t="str">
        <v xml:space="preserve"> 0.7319024987502374</v>
      </c>
      <c r="BZ64" t="str">
        <v xml:space="preserve"> 0.007985585357628475</v>
      </c>
      <c r="CA64" t="str">
        <v xml:space="preserve"> 0.7254616671122226</v>
      </c>
      <c r="CB64" t="str">
        <v xml:space="preserve"> 0.36184154535947166</v>
      </c>
      <c r="CC64" t="str">
        <v xml:space="preserve"> 0.24009995298824263</v>
      </c>
    </row>
    <row r="65" spans="25:56" x14ac:dyDescent="0.25">
      <c r="Y65">
        <v>1</v>
      </c>
      <c r="Z65" s="3" t="s">
        <v>33</v>
      </c>
    </row>
    <row r="66" spans="25:56" x14ac:dyDescent="0.25">
      <c r="Y66">
        <v>2</v>
      </c>
      <c r="Z66" s="2" t="s">
        <v>34</v>
      </c>
      <c r="AZ66" s="3">
        <v>0.33831719711374802</v>
      </c>
      <c r="BA66" s="3">
        <v>0.96225603534558202</v>
      </c>
      <c r="BB66">
        <f>AZ66-BA66</f>
        <v>-0.62393883823183405</v>
      </c>
      <c r="BC66" cm="1">
        <f t="array" ref="BC66:BC86">ABS(BB66:BB86)</f>
        <v>0.62393883823183405</v>
      </c>
      <c r="BD66">
        <f>SUM(_xlfn.ANCHORARRAY(BC66))</f>
        <v>7.9290406405481404</v>
      </c>
    </row>
    <row r="67" spans="25:56" x14ac:dyDescent="0.25">
      <c r="Y67">
        <v>3</v>
      </c>
      <c r="Z67" s="3" t="s">
        <v>35</v>
      </c>
      <c r="AZ67" s="2">
        <v>0.93466713178917704</v>
      </c>
      <c r="BA67" s="2" t="s">
        <v>34</v>
      </c>
      <c r="BB67">
        <f t="shared" ref="BB67:BB86" si="0">AZ67-BA67</f>
        <v>-6.5332868210822959E-2</v>
      </c>
      <c r="BC67">
        <v>6.5332868210822959E-2</v>
      </c>
    </row>
    <row r="68" spans="25:56" x14ac:dyDescent="0.25">
      <c r="Y68">
        <v>4</v>
      </c>
      <c r="Z68" s="2" t="s">
        <v>35</v>
      </c>
      <c r="AB68" t="str">
        <f>_xlfn.TEXTJOIN("#",FALSE,Z86:Z92)</f>
        <v xml:space="preserve"> 0.6247405241351475# 0# 0.2299751081125314# 0.7157675822536926# 0.44551237594442145# 0.7088354719260018# 1</v>
      </c>
      <c r="AZ68" s="3">
        <v>9.3176192652155904E-2</v>
      </c>
      <c r="BA68" s="3" t="s">
        <v>35</v>
      </c>
      <c r="BB68">
        <f t="shared" si="0"/>
        <v>9.3176192652155904E-2</v>
      </c>
      <c r="BC68">
        <v>9.3176192652155904E-2</v>
      </c>
    </row>
    <row r="69" spans="25:56" x14ac:dyDescent="0.25">
      <c r="Y69">
        <v>5</v>
      </c>
      <c r="Z69" s="3" t="s">
        <v>34</v>
      </c>
      <c r="AZ69" s="2">
        <v>0</v>
      </c>
      <c r="BA69" s="2" t="s">
        <v>35</v>
      </c>
      <c r="BB69">
        <f t="shared" si="0"/>
        <v>0</v>
      </c>
      <c r="BC69">
        <v>0</v>
      </c>
    </row>
    <row r="70" spans="25:56" x14ac:dyDescent="0.25">
      <c r="Y70">
        <v>6</v>
      </c>
      <c r="Z70" s="2" t="s">
        <v>34</v>
      </c>
      <c r="AB70" t="s">
        <v>57</v>
      </c>
      <c r="AZ70" s="3">
        <v>0.75109902463000799</v>
      </c>
      <c r="BA70" s="3" t="s">
        <v>34</v>
      </c>
      <c r="BB70">
        <f t="shared" si="0"/>
        <v>-0.24890097536999201</v>
      </c>
      <c r="BC70">
        <v>0.24890097536999201</v>
      </c>
    </row>
    <row r="71" spans="25:56" x14ac:dyDescent="0.25">
      <c r="Y71">
        <v>7</v>
      </c>
      <c r="Z71" s="3" t="s">
        <v>34</v>
      </c>
      <c r="AB71" t="str">
        <f>_xlfn.REGEXREPLACE(AB70," ",,)</f>
        <v>0.6247405241351475#0#0.2299751081125314#0.7157675822536926#0.44551237594442145#0.7088354719260018#1</v>
      </c>
      <c r="AZ71" s="2">
        <v>1</v>
      </c>
      <c r="BA71" s="2" t="s">
        <v>34</v>
      </c>
      <c r="BB71">
        <f t="shared" si="0"/>
        <v>0</v>
      </c>
      <c r="BC71">
        <v>0</v>
      </c>
    </row>
    <row r="72" spans="25:56" x14ac:dyDescent="0.25">
      <c r="Y72">
        <v>8</v>
      </c>
      <c r="Z72" s="2" t="s">
        <v>35</v>
      </c>
      <c r="AB72" t="s">
        <v>58</v>
      </c>
      <c r="AZ72" s="3">
        <v>0.96184788633787499</v>
      </c>
      <c r="BA72" s="3" t="s">
        <v>34</v>
      </c>
      <c r="BB72">
        <f t="shared" si="0"/>
        <v>-3.8152113662125009E-2</v>
      </c>
      <c r="BC72">
        <v>3.8152113662125009E-2</v>
      </c>
    </row>
    <row r="73" spans="25:56" x14ac:dyDescent="0.25">
      <c r="Y73">
        <v>9</v>
      </c>
      <c r="Z73" s="3" t="s">
        <v>36</v>
      </c>
      <c r="AZ73" s="2">
        <v>0</v>
      </c>
      <c r="BA73" s="2" t="s">
        <v>35</v>
      </c>
      <c r="BB73">
        <f t="shared" si="0"/>
        <v>0</v>
      </c>
      <c r="BC73">
        <v>0</v>
      </c>
    </row>
    <row r="74" spans="25:56" x14ac:dyDescent="0.25">
      <c r="Y74">
        <v>10</v>
      </c>
      <c r="Z74" s="2" t="s">
        <v>34</v>
      </c>
      <c r="AZ74" s="3">
        <v>1</v>
      </c>
      <c r="BA74" s="3" t="s">
        <v>36</v>
      </c>
      <c r="BB74">
        <f t="shared" si="0"/>
        <v>0.13852660842636</v>
      </c>
      <c r="BC74">
        <v>0.13852660842636</v>
      </c>
    </row>
    <row r="75" spans="25:56" x14ac:dyDescent="0.25">
      <c r="Y75">
        <v>11</v>
      </c>
      <c r="Z75" s="3" t="s">
        <v>37</v>
      </c>
      <c r="AZ75" s="2">
        <v>0.55293794800527796</v>
      </c>
      <c r="BA75" s="2" t="s">
        <v>34</v>
      </c>
      <c r="BB75">
        <f t="shared" si="0"/>
        <v>-0.44706205199472204</v>
      </c>
      <c r="BC75">
        <v>0.44706205199472204</v>
      </c>
    </row>
    <row r="76" spans="25:56" x14ac:dyDescent="0.25">
      <c r="Y76">
        <v>12</v>
      </c>
      <c r="Z76" s="2" t="s">
        <v>34</v>
      </c>
      <c r="AZ76" s="3">
        <v>0.59671345821399002</v>
      </c>
      <c r="BA76" s="3" t="s">
        <v>37</v>
      </c>
      <c r="BB76">
        <f t="shared" si="0"/>
        <v>5.3686848516020014E-2</v>
      </c>
      <c r="BC76">
        <v>5.3686848516020014E-2</v>
      </c>
    </row>
    <row r="77" spans="25:56" x14ac:dyDescent="0.25">
      <c r="Y77">
        <v>13</v>
      </c>
      <c r="Z77" s="3" t="s">
        <v>35</v>
      </c>
      <c r="AZ77" s="2">
        <v>0</v>
      </c>
      <c r="BA77" s="2" t="s">
        <v>34</v>
      </c>
      <c r="BB77">
        <f t="shared" si="0"/>
        <v>-1</v>
      </c>
      <c r="BC77">
        <v>1</v>
      </c>
    </row>
    <row r="78" spans="25:56" x14ac:dyDescent="0.25">
      <c r="Y78">
        <v>14</v>
      </c>
      <c r="Z78" s="2" t="s">
        <v>38</v>
      </c>
      <c r="AZ78" s="3">
        <v>1</v>
      </c>
      <c r="BA78" s="3" t="s">
        <v>35</v>
      </c>
      <c r="BB78">
        <f t="shared" si="0"/>
        <v>1</v>
      </c>
      <c r="BC78">
        <v>1</v>
      </c>
    </row>
    <row r="79" spans="25:56" x14ac:dyDescent="0.25">
      <c r="Y79">
        <v>15</v>
      </c>
      <c r="Z79" s="3" t="s">
        <v>34</v>
      </c>
      <c r="AZ79" s="2">
        <v>0</v>
      </c>
      <c r="BA79" s="2" t="s">
        <v>38</v>
      </c>
      <c r="BB79">
        <f t="shared" si="0"/>
        <v>-0.17621606443353</v>
      </c>
      <c r="BC79">
        <v>0.17621606443353</v>
      </c>
    </row>
    <row r="80" spans="25:56" x14ac:dyDescent="0.25">
      <c r="Y80">
        <v>16</v>
      </c>
      <c r="Z80" s="2" t="s">
        <v>39</v>
      </c>
      <c r="AZ80" s="3">
        <v>0</v>
      </c>
      <c r="BA80" s="3" t="s">
        <v>34</v>
      </c>
      <c r="BB80">
        <f t="shared" si="0"/>
        <v>-1</v>
      </c>
      <c r="BC80">
        <v>1</v>
      </c>
    </row>
    <row r="81" spans="25:55" x14ac:dyDescent="0.25">
      <c r="Y81">
        <v>17</v>
      </c>
      <c r="Z81" s="3" t="s">
        <v>40</v>
      </c>
      <c r="AZ81" s="2">
        <v>1</v>
      </c>
      <c r="BA81" s="2" t="s">
        <v>39</v>
      </c>
      <c r="BB81">
        <f t="shared" si="0"/>
        <v>0.58957907790050801</v>
      </c>
      <c r="BC81">
        <v>0.58957907790050801</v>
      </c>
    </row>
    <row r="82" spans="25:55" x14ac:dyDescent="0.25">
      <c r="Y82">
        <v>18</v>
      </c>
      <c r="Z82" s="2" t="s">
        <v>34</v>
      </c>
      <c r="AZ82" s="3">
        <v>0</v>
      </c>
      <c r="BA82" s="3" t="s">
        <v>40</v>
      </c>
      <c r="BB82">
        <f t="shared" si="0"/>
        <v>-0.93748321022143899</v>
      </c>
      <c r="BC82">
        <v>0.93748321022143899</v>
      </c>
    </row>
    <row r="83" spans="25:55" x14ac:dyDescent="0.25">
      <c r="Y83">
        <v>19</v>
      </c>
      <c r="Z83" s="3" t="s">
        <v>41</v>
      </c>
      <c r="AZ83" s="2">
        <v>2.1401265694797498E-3</v>
      </c>
      <c r="BA83" s="2" t="s">
        <v>34</v>
      </c>
      <c r="BB83">
        <f t="shared" si="0"/>
        <v>-0.99785987343052029</v>
      </c>
      <c r="BC83">
        <v>0.99785987343052029</v>
      </c>
    </row>
    <row r="84" spans="25:55" x14ac:dyDescent="0.25">
      <c r="Y84">
        <v>20</v>
      </c>
      <c r="Z84" s="2" t="s">
        <v>42</v>
      </c>
      <c r="AZ84" s="3">
        <v>0.37166843346534201</v>
      </c>
      <c r="BA84" s="3" t="s">
        <v>41</v>
      </c>
      <c r="BB84">
        <f t="shared" si="0"/>
        <v>7.8902838744676018E-2</v>
      </c>
      <c r="BC84">
        <v>7.8902838744676018E-2</v>
      </c>
    </row>
    <row r="85" spans="25:55" x14ac:dyDescent="0.25">
      <c r="Y85">
        <v>21</v>
      </c>
      <c r="Z85" s="3" t="s">
        <v>43</v>
      </c>
      <c r="AZ85" s="2">
        <v>0.16946907320228299</v>
      </c>
      <c r="BA85" s="2" t="s">
        <v>42</v>
      </c>
      <c r="BB85">
        <f t="shared" si="0"/>
        <v>0.15121010424644088</v>
      </c>
      <c r="BC85">
        <v>0.15121010424644088</v>
      </c>
    </row>
    <row r="86" spans="25:55" x14ac:dyDescent="0.25">
      <c r="Y86">
        <v>22</v>
      </c>
      <c r="Z86" s="2" t="s">
        <v>44</v>
      </c>
      <c r="AZ86" s="3">
        <v>0</v>
      </c>
      <c r="BA86" s="3" t="s">
        <v>43</v>
      </c>
      <c r="BB86">
        <f t="shared" si="0"/>
        <v>-0.28901297450699598</v>
      </c>
      <c r="BC86">
        <v>0.28901297450699598</v>
      </c>
    </row>
    <row r="87" spans="25:55" x14ac:dyDescent="0.25">
      <c r="Y87">
        <v>23</v>
      </c>
      <c r="Z87" s="3" t="s">
        <v>35</v>
      </c>
      <c r="BA87" t="s">
        <v>44</v>
      </c>
    </row>
    <row r="88" spans="25:55" x14ac:dyDescent="0.25">
      <c r="Y88">
        <v>24</v>
      </c>
      <c r="Z88" s="2" t="s">
        <v>45</v>
      </c>
      <c r="AI88" t="s">
        <v>59</v>
      </c>
      <c r="BA88" t="s">
        <v>35</v>
      </c>
    </row>
    <row r="89" spans="25:55" x14ac:dyDescent="0.25">
      <c r="Y89">
        <v>25</v>
      </c>
      <c r="Z89" s="3" t="s">
        <v>46</v>
      </c>
      <c r="AH89" t="s">
        <v>59</v>
      </c>
      <c r="AI89" s="4" t="s">
        <v>60</v>
      </c>
      <c r="AJ89" s="4" t="s">
        <v>60</v>
      </c>
      <c r="BA89" t="s">
        <v>45</v>
      </c>
    </row>
    <row r="90" spans="25:55" x14ac:dyDescent="0.25">
      <c r="Y90">
        <v>26</v>
      </c>
      <c r="Z90" s="2" t="s">
        <v>47</v>
      </c>
      <c r="AH90">
        <v>1</v>
      </c>
      <c r="AI90">
        <v>2</v>
      </c>
      <c r="AJ90">
        <v>3</v>
      </c>
      <c r="BA90" t="s">
        <v>46</v>
      </c>
    </row>
    <row r="91" spans="25:55" x14ac:dyDescent="0.25">
      <c r="Y91">
        <v>27</v>
      </c>
      <c r="Z91" s="3" t="s">
        <v>48</v>
      </c>
      <c r="AG91">
        <v>1</v>
      </c>
      <c r="AH91" s="3">
        <v>0</v>
      </c>
      <c r="AI91">
        <f ca="1">RAND()*0.1-0.05</f>
        <v>-4.7544576700624869E-2</v>
      </c>
      <c r="AJ91">
        <f ca="1">RAND()*0.1-0.05</f>
        <v>3.3614303098553816E-2</v>
      </c>
      <c r="BA91" t="s">
        <v>47</v>
      </c>
    </row>
    <row r="92" spans="25:55" x14ac:dyDescent="0.25">
      <c r="Y92">
        <v>28</v>
      </c>
      <c r="Z92" s="2" t="s">
        <v>34</v>
      </c>
      <c r="AG92">
        <v>2</v>
      </c>
      <c r="AH92" s="2">
        <v>0.838073450710207</v>
      </c>
      <c r="AI92">
        <f t="shared" ref="AI92:AJ111" ca="1" si="1">RAND()*0.1-0.05</f>
        <v>-3.4712948674015642E-2</v>
      </c>
      <c r="AJ92">
        <f t="shared" ca="1" si="1"/>
        <v>4.5288903584589035E-2</v>
      </c>
      <c r="BA92" t="s">
        <v>48</v>
      </c>
    </row>
    <row r="93" spans="25:55" x14ac:dyDescent="0.25">
      <c r="Y93">
        <v>29</v>
      </c>
      <c r="AG93">
        <v>3</v>
      </c>
      <c r="AH93" s="3">
        <v>0.36941805210713202</v>
      </c>
      <c r="AI93">
        <f t="shared" ca="1" si="1"/>
        <v>4.2550669920559545E-2</v>
      </c>
      <c r="AJ93">
        <f t="shared" ca="1" si="1"/>
        <v>-3.7119210752457221E-2</v>
      </c>
      <c r="BA93" t="s">
        <v>34</v>
      </c>
    </row>
    <row r="94" spans="25:55" x14ac:dyDescent="0.25">
      <c r="Y94">
        <v>30</v>
      </c>
      <c r="AG94">
        <v>4</v>
      </c>
      <c r="AH94" s="2">
        <v>0.772175920311859</v>
      </c>
      <c r="AI94">
        <f t="shared" ca="1" si="1"/>
        <v>-4.0970127930099687E-2</v>
      </c>
      <c r="AJ94">
        <f t="shared" ca="1" si="1"/>
        <v>-3.6618692656709466E-2</v>
      </c>
    </row>
    <row r="95" spans="25:55" x14ac:dyDescent="0.25">
      <c r="Y95">
        <v>31</v>
      </c>
      <c r="AG95">
        <v>5</v>
      </c>
      <c r="AH95" s="3">
        <v>0.61234593074099897</v>
      </c>
      <c r="AI95">
        <f t="shared" ca="1" si="1"/>
        <v>3.4402750048621145E-2</v>
      </c>
      <c r="AJ95">
        <f t="shared" ca="1" si="1"/>
        <v>4.1298782929790029E-2</v>
      </c>
    </row>
    <row r="96" spans="25:55" x14ac:dyDescent="0.25">
      <c r="Y96">
        <v>32</v>
      </c>
      <c r="AG96">
        <v>6</v>
      </c>
      <c r="AH96" s="2">
        <v>0</v>
      </c>
      <c r="AI96">
        <f t="shared" ca="1" si="1"/>
        <v>-3.3036496512574953E-2</v>
      </c>
      <c r="AJ96">
        <f t="shared" ca="1" si="1"/>
        <v>-2.062533544109001E-2</v>
      </c>
    </row>
    <row r="97" spans="25:36" x14ac:dyDescent="0.25">
      <c r="Y97">
        <v>33</v>
      </c>
      <c r="AG97">
        <v>7</v>
      </c>
      <c r="AH97" s="3">
        <v>1</v>
      </c>
      <c r="AI97">
        <f t="shared" ca="1" si="1"/>
        <v>3.2530375147583473E-2</v>
      </c>
      <c r="AJ97">
        <f t="shared" ca="1" si="1"/>
        <v>2.0511527657543702E-2</v>
      </c>
    </row>
    <row r="98" spans="25:36" x14ac:dyDescent="0.25">
      <c r="Y98">
        <v>34</v>
      </c>
      <c r="AG98">
        <v>8</v>
      </c>
      <c r="AH98" s="2">
        <v>0.27929680791088402</v>
      </c>
      <c r="AI98">
        <f t="shared" ca="1" si="1"/>
        <v>-4.0515788138662245E-2</v>
      </c>
      <c r="AJ98">
        <f t="shared" ca="1" si="1"/>
        <v>-1.2744777598253099E-3</v>
      </c>
    </row>
    <row r="99" spans="25:36" x14ac:dyDescent="0.25">
      <c r="Y99">
        <v>35</v>
      </c>
      <c r="AG99">
        <v>9</v>
      </c>
      <c r="AH99" s="3">
        <v>1</v>
      </c>
      <c r="AI99">
        <f t="shared" ca="1" si="1"/>
        <v>-3.8804677589562221E-2</v>
      </c>
      <c r="AJ99">
        <f t="shared" ca="1" si="1"/>
        <v>2.7923419598931826E-4</v>
      </c>
    </row>
    <row r="100" spans="25:36" x14ac:dyDescent="0.25">
      <c r="Y100">
        <v>36</v>
      </c>
      <c r="AG100">
        <v>10</v>
      </c>
      <c r="AH100" s="2">
        <v>3.9908815338230499E-2</v>
      </c>
      <c r="AI100">
        <f t="shared" ca="1" si="1"/>
        <v>-4.9319982617909756E-2</v>
      </c>
      <c r="AJ100">
        <f t="shared" ca="1" si="1"/>
        <v>4.9282321549034086E-2</v>
      </c>
    </row>
    <row r="101" spans="25:36" x14ac:dyDescent="0.25">
      <c r="Y101">
        <v>37</v>
      </c>
      <c r="AG101">
        <v>11</v>
      </c>
      <c r="AH101" s="3">
        <v>0.93716941113188901</v>
      </c>
      <c r="AI101">
        <f t="shared" ca="1" si="1"/>
        <v>-4.7257524780399712E-2</v>
      </c>
      <c r="AJ101">
        <f t="shared" ca="1" si="1"/>
        <v>-3.8152394415628989E-2</v>
      </c>
    </row>
    <row r="102" spans="25:36" x14ac:dyDescent="0.25">
      <c r="Y102">
        <v>38</v>
      </c>
      <c r="AG102">
        <v>12</v>
      </c>
      <c r="AH102" s="2">
        <v>1</v>
      </c>
      <c r="AI102">
        <f t="shared" ca="1" si="1"/>
        <v>-1.6815728044141463E-2</v>
      </c>
      <c r="AJ102">
        <f t="shared" ca="1" si="1"/>
        <v>-8.2149415459291247E-3</v>
      </c>
    </row>
    <row r="103" spans="25:36" x14ac:dyDescent="0.25">
      <c r="Y103">
        <v>39</v>
      </c>
      <c r="AG103">
        <v>13</v>
      </c>
      <c r="AH103" s="3">
        <v>0.62226011233405598</v>
      </c>
      <c r="AI103">
        <f t="shared" ca="1" si="1"/>
        <v>-4.5158267886652385E-2</v>
      </c>
      <c r="AJ103">
        <f t="shared" ca="1" si="1"/>
        <v>-4.375407265102417E-3</v>
      </c>
    </row>
    <row r="104" spans="25:36" x14ac:dyDescent="0.25">
      <c r="Y104">
        <v>40</v>
      </c>
      <c r="AG104">
        <v>14</v>
      </c>
      <c r="AH104" s="2">
        <v>0</v>
      </c>
      <c r="AI104">
        <f t="shared" ca="1" si="1"/>
        <v>3.3706402978227371E-2</v>
      </c>
      <c r="AJ104">
        <f t="shared" ca="1" si="1"/>
        <v>-1.3597156305620722E-3</v>
      </c>
    </row>
    <row r="105" spans="25:36" x14ac:dyDescent="0.25">
      <c r="Y105">
        <v>41</v>
      </c>
      <c r="AG105">
        <v>15</v>
      </c>
      <c r="AH105" s="3">
        <v>0.55344351954543602</v>
      </c>
      <c r="AI105">
        <f t="shared" ca="1" si="1"/>
        <v>4.0874396889886297E-2</v>
      </c>
      <c r="AJ105">
        <f t="shared" ca="1" si="1"/>
        <v>-3.3686929092972141E-2</v>
      </c>
    </row>
    <row r="106" spans="25:36" x14ac:dyDescent="0.25">
      <c r="Y106">
        <v>42</v>
      </c>
      <c r="AG106">
        <v>16</v>
      </c>
      <c r="AH106" s="2">
        <v>0.78854921023547897</v>
      </c>
      <c r="AI106">
        <f t="shared" ca="1" si="1"/>
        <v>-4.649631077342236E-2</v>
      </c>
      <c r="AJ106">
        <f t="shared" ca="1" si="1"/>
        <v>-7.186812450304704E-3</v>
      </c>
    </row>
    <row r="107" spans="25:36" x14ac:dyDescent="0.25">
      <c r="Y107">
        <v>43</v>
      </c>
      <c r="AG107">
        <v>17</v>
      </c>
      <c r="AH107" s="3">
        <v>0.34360099288912299</v>
      </c>
      <c r="AI107">
        <f t="shared" ca="1" si="1"/>
        <v>-2.844335816198116E-2</v>
      </c>
      <c r="AJ107">
        <f t="shared" ca="1" si="1"/>
        <v>1.9849603469181146E-2</v>
      </c>
    </row>
    <row r="108" spans="25:36" x14ac:dyDescent="0.25">
      <c r="Y108">
        <v>44</v>
      </c>
      <c r="AG108">
        <v>18</v>
      </c>
      <c r="AH108" s="2">
        <v>0</v>
      </c>
      <c r="AI108">
        <f t="shared" ca="1" si="1"/>
        <v>1.0552803055205867E-3</v>
      </c>
      <c r="AJ108">
        <f t="shared" ca="1" si="1"/>
        <v>7.1832626082061063E-3</v>
      </c>
    </row>
    <row r="109" spans="25:36" x14ac:dyDescent="0.25">
      <c r="Y109">
        <v>45</v>
      </c>
      <c r="AG109">
        <v>19</v>
      </c>
      <c r="AH109" s="3">
        <v>0.34378680064676098</v>
      </c>
      <c r="AI109">
        <f t="shared" ca="1" si="1"/>
        <v>-4.8343523217911827E-2</v>
      </c>
      <c r="AJ109">
        <f t="shared" ca="1" si="1"/>
        <v>-1.642216910618486E-2</v>
      </c>
    </row>
    <row r="110" spans="25:36" x14ac:dyDescent="0.25">
      <c r="AG110">
        <v>20</v>
      </c>
      <c r="AH110" s="2">
        <v>1</v>
      </c>
      <c r="AI110">
        <f t="shared" ca="1" si="1"/>
        <v>-3.0595368105653567E-2</v>
      </c>
      <c r="AJ110">
        <f t="shared" ca="1" si="1"/>
        <v>-1.312555952917363E-3</v>
      </c>
    </row>
    <row r="111" spans="25:36" x14ac:dyDescent="0.25">
      <c r="AG111">
        <v>21</v>
      </c>
      <c r="AH111" s="3">
        <v>1</v>
      </c>
      <c r="AI111">
        <f t="shared" ca="1" si="1"/>
        <v>-1.4036857754779232E-2</v>
      </c>
      <c r="AJ111">
        <f t="shared" ca="1" si="1"/>
        <v>-1.9326214591207726E-2</v>
      </c>
    </row>
    <row r="112" spans="25:36" x14ac:dyDescent="0.25">
      <c r="AG112">
        <v>22</v>
      </c>
    </row>
  </sheetData>
  <mergeCells count="6">
    <mergeCell ref="AM29:AU30"/>
    <mergeCell ref="AB1:AJ2"/>
    <mergeCell ref="AN1:AV2"/>
    <mergeCell ref="O29:W30"/>
    <mergeCell ref="C29:K30"/>
    <mergeCell ref="AA29:AI30"/>
  </mergeCells>
  <pageMargins left="0.7" right="0.7" top="0.75" bottom="0.75" header="0.3" footer="0.3"/>
  <tableParts count="6">
    <tablePart r:id="rId1"/>
    <tablePart r:id="rId2"/>
    <tablePart r:id="rId3"/>
    <tablePart r:id="rId4"/>
    <tablePart r:id="rId5"/>
    <tablePart r:id="rId6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AE9BAA-8977-4D22-B011-D77539E65F64}">
  <dimension ref="A1:AI13"/>
  <sheetViews>
    <sheetView tabSelected="1" workbookViewId="0">
      <selection activeCell="Y7" sqref="Y7"/>
    </sheetView>
  </sheetViews>
  <sheetFormatPr defaultRowHeight="15" x14ac:dyDescent="0.25"/>
  <cols>
    <col min="2" max="2" width="12.42578125" bestFit="1" customWidth="1"/>
    <col min="3" max="3" width="10.140625" bestFit="1" customWidth="1"/>
    <col min="4" max="4" width="12.42578125" bestFit="1" customWidth="1"/>
    <col min="11" max="11" width="12.42578125" bestFit="1" customWidth="1"/>
    <col min="12" max="12" width="10.140625" bestFit="1" customWidth="1"/>
    <col min="21" max="21" width="11.28515625" bestFit="1" customWidth="1"/>
  </cols>
  <sheetData>
    <row r="1" spans="1:35" x14ac:dyDescent="0.25">
      <c r="B1" s="5" t="s">
        <v>75</v>
      </c>
      <c r="C1" s="5"/>
      <c r="D1" s="5"/>
      <c r="E1" s="5"/>
      <c r="F1" s="5"/>
      <c r="G1" s="5"/>
      <c r="H1" s="5"/>
      <c r="J1" s="5">
        <v>64</v>
      </c>
      <c r="K1" s="5"/>
      <c r="L1" s="5"/>
      <c r="M1" s="5"/>
      <c r="N1" s="5"/>
      <c r="O1" s="5"/>
      <c r="P1" s="5"/>
      <c r="Q1" s="5"/>
      <c r="S1" s="5">
        <v>28</v>
      </c>
      <c r="T1" s="5"/>
      <c r="U1" s="5"/>
      <c r="V1" s="5"/>
      <c r="W1" s="5"/>
      <c r="X1" s="5"/>
      <c r="Y1" s="5"/>
      <c r="Z1" s="5"/>
      <c r="AB1" s="5" t="s">
        <v>76</v>
      </c>
      <c r="AC1" s="5"/>
      <c r="AD1" s="5"/>
      <c r="AE1" s="5"/>
      <c r="AF1" s="5"/>
      <c r="AG1" s="5"/>
      <c r="AH1" s="5"/>
      <c r="AI1" s="5"/>
    </row>
    <row r="2" spans="1:35" x14ac:dyDescent="0.25">
      <c r="B2" s="5"/>
      <c r="C2" s="5"/>
      <c r="D2" s="5"/>
      <c r="E2" s="5"/>
      <c r="F2" s="5"/>
      <c r="G2" s="5"/>
      <c r="H2" s="5"/>
      <c r="J2" s="5"/>
      <c r="K2" s="5"/>
      <c r="L2" s="5"/>
      <c r="M2" s="5"/>
      <c r="N2" s="5"/>
      <c r="O2" s="5"/>
      <c r="P2" s="5"/>
      <c r="Q2" s="5"/>
      <c r="S2" s="5"/>
      <c r="T2" s="5"/>
      <c r="U2" s="5"/>
      <c r="V2" s="5"/>
      <c r="W2" s="5"/>
      <c r="X2" s="5"/>
      <c r="Y2" s="5"/>
      <c r="Z2" s="5"/>
      <c r="AB2" s="5"/>
      <c r="AC2" s="5"/>
      <c r="AD2" s="5"/>
      <c r="AE2" s="5"/>
      <c r="AF2" s="5"/>
      <c r="AG2" s="5"/>
      <c r="AH2" s="5"/>
      <c r="AI2" s="5"/>
    </row>
    <row r="3" spans="1:35" x14ac:dyDescent="0.25">
      <c r="A3" t="s">
        <v>69</v>
      </c>
      <c r="B3" t="s">
        <v>62</v>
      </c>
      <c r="C3" t="s">
        <v>63</v>
      </c>
      <c r="D3" t="s">
        <v>64</v>
      </c>
      <c r="E3" t="s">
        <v>71</v>
      </c>
      <c r="F3" t="s">
        <v>72</v>
      </c>
      <c r="G3" t="s">
        <v>68</v>
      </c>
      <c r="H3" t="s">
        <v>65</v>
      </c>
      <c r="J3" t="s">
        <v>69</v>
      </c>
      <c r="K3" t="s">
        <v>62</v>
      </c>
      <c r="L3" t="s">
        <v>63</v>
      </c>
      <c r="M3" t="s">
        <v>64</v>
      </c>
      <c r="N3" t="s">
        <v>71</v>
      </c>
      <c r="O3" t="s">
        <v>72</v>
      </c>
      <c r="P3" t="s">
        <v>68</v>
      </c>
      <c r="Q3" t="s">
        <v>65</v>
      </c>
      <c r="S3" t="s">
        <v>69</v>
      </c>
      <c r="T3" t="s">
        <v>62</v>
      </c>
      <c r="U3" t="s">
        <v>63</v>
      </c>
      <c r="V3" t="s">
        <v>64</v>
      </c>
      <c r="W3" t="s">
        <v>71</v>
      </c>
      <c r="X3" t="s">
        <v>72</v>
      </c>
      <c r="Y3" t="s">
        <v>68</v>
      </c>
      <c r="Z3" t="s">
        <v>65</v>
      </c>
      <c r="AB3" t="s">
        <v>69</v>
      </c>
      <c r="AC3" t="s">
        <v>62</v>
      </c>
      <c r="AD3" t="s">
        <v>63</v>
      </c>
      <c r="AE3" t="s">
        <v>64</v>
      </c>
      <c r="AF3" t="s">
        <v>71</v>
      </c>
      <c r="AG3" t="s">
        <v>72</v>
      </c>
      <c r="AH3" t="s">
        <v>68</v>
      </c>
      <c r="AI3" t="s">
        <v>65</v>
      </c>
    </row>
    <row r="4" spans="1:35" x14ac:dyDescent="0.25">
      <c r="A4" t="s">
        <v>70</v>
      </c>
      <c r="B4" t="s">
        <v>66</v>
      </c>
      <c r="C4" t="s">
        <v>67</v>
      </c>
      <c r="D4">
        <v>18000</v>
      </c>
      <c r="E4">
        <f>G4/D4</f>
        <v>0.54800000000000004</v>
      </c>
      <c r="F4">
        <f>1-E4</f>
        <v>0.45199999999999996</v>
      </c>
      <c r="G4">
        <v>9864</v>
      </c>
      <c r="H4">
        <f>D4-G4</f>
        <v>8136</v>
      </c>
      <c r="J4" t="s">
        <v>70</v>
      </c>
      <c r="K4" t="s">
        <v>66</v>
      </c>
      <c r="L4" t="s">
        <v>67</v>
      </c>
      <c r="M4">
        <v>18000</v>
      </c>
      <c r="N4">
        <f>P4/M4</f>
        <v>0.54800000000000004</v>
      </c>
      <c r="O4">
        <f>1-N4</f>
        <v>0.45199999999999996</v>
      </c>
      <c r="P4">
        <v>9864</v>
      </c>
      <c r="Q4">
        <f>M4-P4</f>
        <v>8136</v>
      </c>
      <c r="S4" t="s">
        <v>70</v>
      </c>
      <c r="T4" t="s">
        <v>66</v>
      </c>
      <c r="U4" t="s">
        <v>73</v>
      </c>
      <c r="V4">
        <v>18000</v>
      </c>
      <c r="W4" s="6">
        <f>Y4/V4</f>
        <v>0.53833333333333333</v>
      </c>
      <c r="X4">
        <f>1-W4</f>
        <v>0.46166666666666667</v>
      </c>
      <c r="Y4">
        <v>9690</v>
      </c>
      <c r="Z4">
        <f>V4-Y4</f>
        <v>8310</v>
      </c>
      <c r="AB4" t="s">
        <v>70</v>
      </c>
      <c r="AC4" t="s">
        <v>66</v>
      </c>
      <c r="AD4" t="s">
        <v>74</v>
      </c>
      <c r="AE4">
        <v>18000</v>
      </c>
      <c r="AF4">
        <f>AH4/AE4</f>
        <v>0.41111111111111109</v>
      </c>
      <c r="AG4" s="6">
        <f>1-AF4</f>
        <v>0.58888888888888891</v>
      </c>
      <c r="AH4">
        <v>7400</v>
      </c>
      <c r="AI4">
        <f>AE4-AH4</f>
        <v>10600</v>
      </c>
    </row>
    <row r="6" spans="1:35" x14ac:dyDescent="0.25">
      <c r="A6" t="s">
        <v>69</v>
      </c>
      <c r="B6" t="s">
        <v>62</v>
      </c>
      <c r="C6" t="s">
        <v>63</v>
      </c>
      <c r="D6" t="s">
        <v>64</v>
      </c>
      <c r="E6" t="s">
        <v>71</v>
      </c>
      <c r="F6" t="s">
        <v>72</v>
      </c>
      <c r="G6" t="s">
        <v>68</v>
      </c>
      <c r="H6" t="s">
        <v>65</v>
      </c>
      <c r="J6" t="s">
        <v>69</v>
      </c>
      <c r="K6" t="s">
        <v>62</v>
      </c>
      <c r="L6" t="s">
        <v>63</v>
      </c>
      <c r="M6" t="s">
        <v>64</v>
      </c>
      <c r="N6" t="s">
        <v>71</v>
      </c>
      <c r="O6" t="s">
        <v>72</v>
      </c>
      <c r="P6" t="s">
        <v>68</v>
      </c>
      <c r="Q6" t="s">
        <v>65</v>
      </c>
      <c r="S6" t="s">
        <v>69</v>
      </c>
      <c r="T6" t="s">
        <v>62</v>
      </c>
      <c r="U6" t="s">
        <v>63</v>
      </c>
      <c r="V6" t="s">
        <v>64</v>
      </c>
      <c r="W6" t="s">
        <v>71</v>
      </c>
      <c r="X6" t="s">
        <v>72</v>
      </c>
      <c r="Y6" t="s">
        <v>68</v>
      </c>
      <c r="Z6" t="s">
        <v>65</v>
      </c>
    </row>
    <row r="7" spans="1:35" x14ac:dyDescent="0.25">
      <c r="A7" t="s">
        <v>70</v>
      </c>
      <c r="B7" t="s">
        <v>66</v>
      </c>
      <c r="C7" t="s">
        <v>73</v>
      </c>
      <c r="D7">
        <v>18000</v>
      </c>
      <c r="E7" s="6">
        <f>G7/D7</f>
        <v>0.53833333333333333</v>
      </c>
      <c r="F7">
        <f>1-E7</f>
        <v>0.46166666666666667</v>
      </c>
      <c r="G7">
        <v>9690</v>
      </c>
      <c r="H7">
        <f>D7-G7</f>
        <v>8310</v>
      </c>
      <c r="J7" t="s">
        <v>70</v>
      </c>
      <c r="K7" t="s">
        <v>67</v>
      </c>
      <c r="L7" t="s">
        <v>73</v>
      </c>
      <c r="M7">
        <v>18000</v>
      </c>
      <c r="N7">
        <f>P7/M7</f>
        <v>0.47294444444444445</v>
      </c>
      <c r="O7">
        <f>1-N7</f>
        <v>0.52705555555555561</v>
      </c>
      <c r="P7">
        <v>8513</v>
      </c>
      <c r="Q7">
        <f>M7-P7</f>
        <v>9487</v>
      </c>
      <c r="S7" t="s">
        <v>70</v>
      </c>
      <c r="T7" t="s">
        <v>67</v>
      </c>
      <c r="U7" t="s">
        <v>73</v>
      </c>
      <c r="V7">
        <v>18000</v>
      </c>
      <c r="W7">
        <f>Y7/V7</f>
        <v>0.47294444444444445</v>
      </c>
      <c r="X7">
        <f>1-W7</f>
        <v>0.52705555555555561</v>
      </c>
      <c r="Y7">
        <v>8513</v>
      </c>
      <c r="Z7">
        <f>V7-Y7</f>
        <v>9487</v>
      </c>
    </row>
    <row r="9" spans="1:35" x14ac:dyDescent="0.25">
      <c r="A9" t="s">
        <v>69</v>
      </c>
      <c r="B9" t="s">
        <v>62</v>
      </c>
      <c r="C9" t="s">
        <v>63</v>
      </c>
      <c r="D9" t="s">
        <v>64</v>
      </c>
      <c r="E9" t="s">
        <v>71</v>
      </c>
      <c r="F9" t="s">
        <v>72</v>
      </c>
      <c r="G9" t="s">
        <v>68</v>
      </c>
      <c r="H9" t="s">
        <v>65</v>
      </c>
    </row>
    <row r="10" spans="1:35" x14ac:dyDescent="0.25">
      <c r="A10" t="s">
        <v>70</v>
      </c>
      <c r="B10" t="s">
        <v>66</v>
      </c>
      <c r="C10" t="s">
        <v>74</v>
      </c>
      <c r="D10">
        <v>18000</v>
      </c>
      <c r="E10">
        <f>G10/D10</f>
        <v>0.41111111111111109</v>
      </c>
      <c r="F10" s="6">
        <f>1-E10</f>
        <v>0.58888888888888891</v>
      </c>
      <c r="G10">
        <v>7400</v>
      </c>
      <c r="H10">
        <f>D10-G10</f>
        <v>10600</v>
      </c>
    </row>
    <row r="13" spans="1:35" x14ac:dyDescent="0.25">
      <c r="F13" s="6"/>
    </row>
  </sheetData>
  <mergeCells count="4">
    <mergeCell ref="B1:H2"/>
    <mergeCell ref="J1:Q2"/>
    <mergeCell ref="S1:Z2"/>
    <mergeCell ref="AB1:AI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Weights</vt:lpstr>
      <vt:lpstr>Fights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Andrzej Krzyśków (266614)</dc:creator>
  <cp:lastModifiedBy>Andrzej Krzyśków (266614)</cp:lastModifiedBy>
  <dcterms:created xsi:type="dcterms:W3CDTF">2026-03-21T14:19:48Z</dcterms:created>
  <dcterms:modified xsi:type="dcterms:W3CDTF">2026-03-28T13:59:13Z</dcterms:modified>
</cp:coreProperties>
</file>