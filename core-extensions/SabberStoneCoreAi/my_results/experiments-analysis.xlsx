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ics_Movies\vids\PWr\Sem10\magisterka\SabberStone\core-extensions\SabberStoneCoreAi\my_results\"/>
    </mc:Choice>
  </mc:AlternateContent>
  <xr:revisionPtr revIDLastSave="0" documentId="13_ncr:1_{7AA6A0C8-CC1D-470E-A0C4-B05CC103F9F1}" xr6:coauthVersionLast="47" xr6:coauthVersionMax="47" xr10:uidLastSave="{00000000-0000-0000-0000-000000000000}"/>
  <bookViews>
    <workbookView xWindow="4800" yWindow="3900" windowWidth="28800" windowHeight="15885" activeTab="1" xr2:uid="{23FC15A1-DE11-4199-B1D8-4DE8B55B0A24}"/>
  </bookViews>
  <sheets>
    <sheet name="Weights" sheetId="1" r:id="rId1"/>
    <sheet name="Fights_8_8_20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4" i="2" l="1"/>
  <c r="CT4" i="2"/>
  <c r="CU4" i="2" s="1"/>
  <c r="BH66" i="1"/>
  <c r="BH67" i="1" s="1"/>
  <c r="Z64" i="1" a="1"/>
  <c r="Z64" i="1" s="1"/>
  <c r="H4" i="2"/>
  <c r="E4" i="2"/>
  <c r="F4" i="2" s="1"/>
  <c r="CI7" i="2"/>
  <c r="CF7" i="2"/>
  <c r="CG7" i="2" s="1"/>
  <c r="AB68" i="1"/>
  <c r="CO54" i="1"/>
  <c r="CO55" i="1"/>
  <c r="CO56" i="1"/>
  <c r="CZ32" i="1"/>
  <c r="CN32" i="1"/>
  <c r="CI4" i="2"/>
  <c r="CF4" i="2"/>
  <c r="CG4" i="2" s="1"/>
  <c r="BN32" i="1"/>
  <c r="BI5" i="2"/>
  <c r="BF5" i="2"/>
  <c r="BG5" i="2" s="1"/>
  <c r="BV4" i="2"/>
  <c r="BI4" i="2"/>
  <c r="BF4" i="2"/>
  <c r="BG4" i="2" s="1"/>
  <c r="BS7" i="2"/>
  <c r="BT7" i="2"/>
  <c r="BV10" i="2"/>
  <c r="BS10" i="2"/>
  <c r="BT10" i="2" s="1"/>
  <c r="H41" i="2"/>
  <c r="E41" i="2"/>
  <c r="F41" i="2" s="1"/>
  <c r="AH7" i="2"/>
  <c r="AE7" i="2"/>
  <c r="AF7" i="2" s="1"/>
  <c r="AH4" i="2"/>
  <c r="AE4" i="2"/>
  <c r="AF4" i="2" s="1"/>
  <c r="CD33" i="1"/>
  <c r="CE33" i="1"/>
  <c r="CF33" i="1"/>
  <c r="CC33" i="1"/>
  <c r="CB32" i="1"/>
  <c r="AI91" i="1"/>
  <c r="AJ91" i="1" s="1"/>
  <c r="BB66" i="1"/>
  <c r="BB32" i="1"/>
  <c r="BV7" i="2"/>
  <c r="AI92" i="1"/>
  <c r="AJ92" i="1" s="1"/>
  <c r="AI93" i="1"/>
  <c r="AJ93" i="1" s="1"/>
  <c r="AI94" i="1"/>
  <c r="AJ94" i="1" s="1"/>
  <c r="AI95" i="1"/>
  <c r="AJ95" i="1" s="1"/>
  <c r="AI96" i="1"/>
  <c r="AJ96" i="1" s="1"/>
  <c r="AI97" i="1"/>
  <c r="AJ97" i="1" s="1"/>
  <c r="AI98" i="1"/>
  <c r="AJ98" i="1" s="1"/>
  <c r="AI99" i="1"/>
  <c r="AJ99" i="1" s="1"/>
  <c r="AI100" i="1"/>
  <c r="AJ100" i="1" s="1"/>
  <c r="AI101" i="1"/>
  <c r="AJ101" i="1" s="1"/>
  <c r="AI102" i="1"/>
  <c r="AJ102" i="1" s="1"/>
  <c r="AI103" i="1"/>
  <c r="AJ103" i="1" s="1"/>
  <c r="AI104" i="1"/>
  <c r="AJ104" i="1" s="1"/>
  <c r="AI105" i="1"/>
  <c r="AJ105" i="1" s="1"/>
  <c r="AI106" i="1"/>
  <c r="AJ106" i="1" s="1"/>
  <c r="AI107" i="1"/>
  <c r="AJ107" i="1" s="1"/>
  <c r="AI108" i="1"/>
  <c r="AJ108" i="1" s="1"/>
  <c r="AI109" i="1"/>
  <c r="AJ109" i="1" s="1"/>
  <c r="AI110" i="1"/>
  <c r="AJ110" i="1" s="1"/>
  <c r="AI111" i="1"/>
  <c r="AJ111" i="1" s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V10" i="2"/>
  <c r="AS10" i="2"/>
  <c r="AT10" i="2" s="1"/>
  <c r="U10" i="2"/>
  <c r="R10" i="2"/>
  <c r="S10" i="2" s="1"/>
  <c r="BS4" i="2"/>
  <c r="BT4" i="2" s="1"/>
  <c r="U4" i="2"/>
  <c r="R4" i="2"/>
  <c r="S4" i="2" s="1"/>
  <c r="AV4" i="2"/>
  <c r="AS4" i="2"/>
  <c r="AT4" i="2" s="1"/>
  <c r="AV7" i="2"/>
  <c r="AS7" i="2"/>
  <c r="AT7" i="2" s="1"/>
  <c r="R7" i="2"/>
  <c r="S7" i="2" s="1"/>
  <c r="U7" i="2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F32" i="1"/>
  <c r="AP32" i="1"/>
  <c r="R32" i="1"/>
  <c r="AD32" i="1"/>
  <c r="AG33" i="1" s="1"/>
  <c r="AQ4" i="1"/>
  <c r="AE4" i="1"/>
  <c r="AF5" i="1" s="1"/>
  <c r="Z65" i="1" l="1" a="1"/>
  <c r="Z65" i="1" s="1"/>
  <c r="BQ33" i="1"/>
  <c r="BR33" i="1"/>
  <c r="BS33" i="1"/>
  <c r="BT33" i="1"/>
  <c r="AL91" i="1"/>
  <c r="AL102" i="1"/>
  <c r="AL96" i="1"/>
  <c r="AL106" i="1"/>
  <c r="AL108" i="1"/>
  <c r="AL111" i="1"/>
  <c r="AL105" i="1"/>
  <c r="AL99" i="1"/>
  <c r="AL93" i="1"/>
  <c r="AL109" i="1"/>
  <c r="AL97" i="1"/>
  <c r="AL95" i="1"/>
  <c r="AL103" i="1"/>
  <c r="AL101" i="1"/>
  <c r="AL94" i="1"/>
  <c r="AL100" i="1"/>
  <c r="AL104" i="1"/>
  <c r="AL92" i="1"/>
  <c r="AL107" i="1"/>
  <c r="AL110" i="1"/>
  <c r="AL98" i="1"/>
  <c r="AT33" i="1"/>
  <c r="BC66" i="1" a="1"/>
  <c r="BC66" i="1" s="1"/>
  <c r="AR33" i="1"/>
  <c r="AQ33" i="1"/>
  <c r="AS33" i="1"/>
  <c r="AF33" i="1"/>
  <c r="AI5" i="1"/>
  <c r="AH5" i="1"/>
  <c r="AG5" i="1"/>
  <c r="AE33" i="1"/>
  <c r="AH33" i="1"/>
  <c r="BD66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<sst xmlns="http://schemas.openxmlformats.org/spreadsheetml/2006/main" count="696" uniqueCount="124">
  <si>
    <t>Hero Health Reduced</t>
  </si>
  <si>
    <t>Hero Attack Reduced</t>
  </si>
  <si>
    <t>Minion Health Reduced</t>
  </si>
  <si>
    <t>Minion Attack Reduced</t>
  </si>
  <si>
    <t>Minion Appeared</t>
  </si>
  <si>
    <t>Minion Killed</t>
  </si>
  <si>
    <t>Secret Removed</t>
  </si>
  <si>
    <t>Mana Reduced</t>
  </si>
  <si>
    <t>Minion Health</t>
  </si>
  <si>
    <t>Minion Attack</t>
  </si>
  <si>
    <t>Minion Has Charge</t>
  </si>
  <si>
    <t>Minion Has Deathrattle</t>
  </si>
  <si>
    <t>Minion Has Divine Shield</t>
  </si>
  <si>
    <t>Minion Has Inspire</t>
  </si>
  <si>
    <t>Minion Has Life Steal</t>
  </si>
  <si>
    <t>Minion Has Stealth</t>
  </si>
  <si>
    <t>Minion Has Taunt</t>
  </si>
  <si>
    <t>Minion Has Windfury</t>
  </si>
  <si>
    <t>Minion Has Poison</t>
  </si>
  <si>
    <t>Minion Rarity</t>
  </si>
  <si>
    <t>Minion Mana Cost</t>
  </si>
  <si>
    <t>NUM_GAMES</t>
  </si>
  <si>
    <t>POP_SIZE</t>
  </si>
  <si>
    <t>MAX_EVALUATIONS</t>
  </si>
  <si>
    <t>Max fitness</t>
  </si>
  <si>
    <t>Worst</t>
  </si>
  <si>
    <t>Best</t>
  </si>
  <si>
    <t>Median</t>
  </si>
  <si>
    <t>Average</t>
  </si>
  <si>
    <t>Std Dev</t>
  </si>
  <si>
    <t>Modified - 63 parameters</t>
  </si>
  <si>
    <t>Base - my runs</t>
  </si>
  <si>
    <t>Baseline results - from authors</t>
  </si>
  <si>
    <t>0.9622560353455828</t>
  </si>
  <si>
    <t xml:space="preserve"> 1</t>
  </si>
  <si>
    <t xml:space="preserve"> 0</t>
  </si>
  <si>
    <t xml:space="preserve"> 0.86147339157364</t>
  </si>
  <si>
    <t xml:space="preserve"> 0.5430266096979701</t>
  </si>
  <si>
    <t xml:space="preserve"> 0.17621606443353027</t>
  </si>
  <si>
    <t xml:space="preserve"> 0.4104209220994927</t>
  </si>
  <si>
    <t xml:space="preserve"> 0.9374832102214393</t>
  </si>
  <si>
    <t xml:space="preserve"> 0.29276559472066643</t>
  </si>
  <si>
    <t xml:space="preserve"> 0.01825896895584212</t>
  </si>
  <si>
    <t xml:space="preserve"> 0.28901297450699664</t>
  </si>
  <si>
    <t xml:space="preserve"> 0.6247405241351475</t>
  </si>
  <si>
    <t xml:space="preserve"> 0.2299751081125314</t>
  </si>
  <si>
    <t xml:space="preserve"> 0.7157675822536926</t>
  </si>
  <si>
    <t xml:space="preserve"> 0.44551237594442145</t>
  </si>
  <si>
    <t xml:space="preserve"> 0.7088354719260018</t>
  </si>
  <si>
    <t>Modified - 28 parameters</t>
  </si>
  <si>
    <t>PIRATE_SYNERGY</t>
  </si>
  <si>
    <t>JADE_PROGRESS</t>
  </si>
  <si>
    <t>OVERLOAD_ADDED</t>
  </si>
  <si>
    <t>SPELL_DAMAGE</t>
  </si>
  <si>
    <t>HAND_SIZE</t>
  </si>
  <si>
    <t>WEAPON_DURABILITY</t>
  </si>
  <si>
    <t>0-1</t>
  </si>
  <si>
    <t>-0.05 - 0.05</t>
  </si>
  <si>
    <t>DRAGONS_IN_HAND</t>
  </si>
  <si>
    <t>p1</t>
  </si>
  <si>
    <t>p2</t>
  </si>
  <si>
    <t>no. of battles</t>
  </si>
  <si>
    <t>p2 wins</t>
  </si>
  <si>
    <t>p1 wins</t>
  </si>
  <si>
    <t>deck</t>
  </si>
  <si>
    <t>all</t>
  </si>
  <si>
    <t>p1winrate</t>
  </si>
  <si>
    <t>p2winrate</t>
  </si>
  <si>
    <t>base</t>
  </si>
  <si>
    <t>WinAvgTrn</t>
  </si>
  <si>
    <t>LoseAvgTrn</t>
  </si>
  <si>
    <t>WinAvgHlthDiff</t>
  </si>
  <si>
    <t>LoseAvgHlthDiff</t>
  </si>
  <si>
    <t>21Depth</t>
  </si>
  <si>
    <t>Modified - 63 smooth parameters</t>
  </si>
  <si>
    <t>Column1</t>
  </si>
  <si>
    <t>Column2</t>
  </si>
  <si>
    <t>28Normalized</t>
  </si>
  <si>
    <t>0.4489769376909381</t>
  </si>
  <si>
    <t xml:space="preserve"> 0.2200813583097922</t>
  </si>
  <si>
    <t xml:space="preserve"> 0.36904127870754105</t>
  </si>
  <si>
    <t xml:space="preserve"> 0.5734997567308384</t>
  </si>
  <si>
    <t xml:space="preserve"> 0.7609641739977115</t>
  </si>
  <si>
    <t xml:space="preserve"> 0.8855302018224294</t>
  </si>
  <si>
    <t xml:space="preserve"> 0.8306653004086676</t>
  </si>
  <si>
    <t xml:space="preserve"> 0.5377170358339709</t>
  </si>
  <si>
    <t xml:space="preserve"> 0.6550543815442608</t>
  </si>
  <si>
    <t xml:space="preserve"> 0.2772477549959537</t>
  </si>
  <si>
    <t xml:space="preserve"> 0.9592308396183514</t>
  </si>
  <si>
    <t xml:space="preserve"> 0.24293859078887203</t>
  </si>
  <si>
    <t xml:space="preserve"> 0.2529414637771258</t>
  </si>
  <si>
    <t xml:space="preserve"> 0.9405997864481604</t>
  </si>
  <si>
    <t xml:space="preserve"> 0.8282849886177859</t>
  </si>
  <si>
    <t xml:space="preserve"> 0.7886381793044395</t>
  </si>
  <si>
    <t xml:space="preserve"> 0.24788606446216535</t>
  </si>
  <si>
    <t xml:space="preserve"> 0.4452603904961968</t>
  </si>
  <si>
    <t xml:space="preserve"> 0.8513638103721802</t>
  </si>
  <si>
    <t xml:space="preserve"> 0.09766786771815637</t>
  </si>
  <si>
    <t xml:space="preserve"> 0.4317827066736215</t>
  </si>
  <si>
    <t>21depth</t>
  </si>
  <si>
    <t>63 smooth</t>
  </si>
  <si>
    <t>28 normalized</t>
  </si>
  <si>
    <t>0.372269208241967#1#0.573529477162427#0.478299687284229#0.0943804780364997#1#0#0.568385191539713#0#0.352433458663134#0#0#0.68074720817694#0#0.695241076410066#0.211022173926576#1#0.679374692176487#0.589091367411266#0#0</t>
  </si>
  <si>
    <t>0.983072968018574#1#0.873833036562193#0.577481377245474#0.194016551354299#1#0.636185001683579#0#0.39191684186863#1#0.149059762034475#0#0.26151978270587#0.532534497260067#0#0.738243327066828#0.173110645291023#0.176199558424364#1#0#0.857491054669108</t>
  </si>
  <si>
    <t>0.50183096343015#0.742345136374095#0#1#0.788967189846087#1#0.58019040024809#0#0.264508409631812#0.491884957258678#0.417088307533637#0.0998344107800981#0.312599962170786#1#0#0.279760334253207#0.469499077972434#0.511143276049166#0.306638552324898#0.704016565497176#0.347196077430126#0.372269208241967#1#0.573529477162427#0.478299687284229#0.0943804780364997#1#0#0.568385191539713#0#0.352433458663134#0#0#0.68074720817694#0#0.695241076410066#0.211022173926576#1#0.679374692176487#0.589091367411266#0#0#0.983072968018574#1#0.873833036562193#0.577481377245474#0.194016551354299#1#0.636185001683579#0#0.39191684186863#1#0.149059762034475#0#0.26151978270587#0.532534497260067#0#0.738243327066828#0.173110645291023#0.176199558424364#1#0#0.857491054669108</t>
  </si>
  <si>
    <t>21d(base-weights)</t>
  </si>
  <si>
    <t>21d(learned)</t>
  </si>
  <si>
    <t>28Normalized(fix score minion)</t>
  </si>
  <si>
    <t>21SHADEpure</t>
  </si>
  <si>
    <t>21SHADElike</t>
  </si>
  <si>
    <t>0.79772286#0.64642786#0.3633397#0.78405817#0.53132201#0.70726014#0.37291524#0.20189696#0.07014928#0.78355544#0.69463728#0.58370084#0.91649906#0.474657#0.67174753#0.16183945#0.98521992#0.43340778#0.56122326#0.72634069#0.92028133</t>
  </si>
  <si>
    <t>base-SHADElike</t>
  </si>
  <si>
    <t>^mutants vs mutants</t>
  </si>
  <si>
    <t>^mutans vs parents</t>
  </si>
  <si>
    <t>0.29200656,0.98765522,0.02041276,0.63498946,0.74946424,0.94758804,0.47603056,0.05988198,0.40201173,0.1345972,0.29181048,0.18548338,0.38815854,0.27825873,0.83269858,0.61753036,0.0690502,0.25331931,0.91811351,0.57604443,0.15545563</t>
  </si>
  <si>
    <t>0.29200656#0.98765522#0.02041276#0.63498946#0.74946424#0.94758804#0.47603056#0.05988198#0.40201173#0.1345972#0.29181048#0.18548338#0.38815854#0.27825873#0.83269858#0.61753036#0.0690502#0.25331931#0.91811351#0.57604443#0.15545563</t>
  </si>
  <si>
    <t>mutants vs mutants</t>
  </si>
  <si>
    <t>mutans vs parents</t>
  </si>
  <si>
    <t>20.2.</t>
  </si>
  <si>
    <t>researchers</t>
  </si>
  <si>
    <t>pure</t>
  </si>
  <si>
    <t>pure-Shade</t>
  </si>
  <si>
    <t>0.4091753041621535, 0.526987531425831, 0.07765675894938162, 0.004964104866896055, 0.6199393341507159, 0.7247614063773686, 0.45860226419395134, 0.15632117815261173, 0.40243406150630634, 0.963374090223104, 0.3005745081849112, 0.4181724138063309, 0.217602282503368, 0.05208753079827609, 0.18864788546957187, 0.3360597767270444, 0.06567990706602098, 0.1747001120497397, 0.5085210161287994, 0.21394113718953117, 0.7389415568300491</t>
  </si>
  <si>
    <t>0.409175#0.526988#0.077657#0.004964#0.619939#0.724761#0.458602#0.156321#0.402434#0.963374#0.300575#0.418172#0.217602#0.052088#0.188648#0.33606#0.06568#0.1747#0.508521#0.213941#0.738942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</si>
</sst>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rgb="FF000000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C1F0C8"/>
        <bgColor rgb="FFC1F0C8"/>
      </patternFill>
    </fill>
  </fills>
  <borders count="3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rgb="FF47D359"/>
      </left>
      <right/>
      <top style="thin">
        <color rgb="FF47D359"/>
      </top>
      <bottom style="thin">
        <color rgb="FF47D35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quotePrefix="1"/>
    <xf numFmtId="164" fontId="0" fillId="0" borderId="0" xfId="0" applyNumberFormat="1"/>
    <xf numFmtId="164" fontId="0" fillId="0" borderId="1" xfId="0" applyNumberFormat="1" applyBorder="1"/>
    <xf numFmtId="164" fontId="0" fillId="2" borderId="1" xfId="0" applyNumberFormat="1" applyFill="1" applyBorder="1"/>
    <xf numFmtId="0" fontId="0" fillId="0" borderId="0" xfId="0" applyAlignment="1">
      <alignment horizontal="center"/>
    </xf>
    <xf numFmtId="0" fontId="0" fillId="2" borderId="1" xfId="0" applyFont="1" applyFill="1" applyBorder="1"/>
    <xf numFmtId="0" fontId="0" fillId="0" borderId="1" xfId="0" applyFont="1" applyBorder="1"/>
    <xf numFmtId="0" fontId="0" fillId="0" borderId="0" xfId="0" applyNumberFormat="1"/>
    <xf numFmtId="0" fontId="1" fillId="0" borderId="2" xfId="0" applyFont="1" applyBorder="1"/>
    <xf numFmtId="0" fontId="1" fillId="3" borderId="2" xfId="0" applyFont="1" applyFill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D04C67-AC61-4BD0-85A3-8525BAE80EC2}" name="Table3" displayName="Table3" ref="AB3:AJ25" totalsRowShown="0">
  <autoFilter ref="AB3:AJ25" xr:uid="{44D04C67-AC61-4BD0-85A3-8525BAE80EC2}"/>
  <tableColumns count="9">
    <tableColumn id="1" xr3:uid="{37950EE3-A188-45D0-BB14-C58287B28296}" name="NUM_GAMES"/>
    <tableColumn id="2" xr3:uid="{C19E09AE-CB98-42C4-8D17-5EE11C8C5001}" name="POP_SIZE"/>
    <tableColumn id="3" xr3:uid="{C6CD5088-AE37-4CA1-B1A7-7D683E5A3C42}" name="MAX_EVALUATIONS"/>
    <tableColumn id="4" xr3:uid="{71606736-595B-452E-B806-F95D15F9B32F}" name="Max fitness">
      <calculatedColumnFormula>AB4*(2*AC4-1)*9</calculatedColumnFormula>
    </tableColumn>
    <tableColumn id="5" xr3:uid="{015B4A84-5904-4CA8-8B0B-392EE3BDF668}" name="Worst"/>
    <tableColumn id="6" xr3:uid="{F7931D4A-2B64-405C-A8B3-1FFF041640AF}" name="Best"/>
    <tableColumn id="7" xr3:uid="{B567C2C9-A65A-4399-914E-D883A974B30C}" name="Median"/>
    <tableColumn id="8" xr3:uid="{F7B6125C-101D-4138-9347-FC982B1BA02C}" name="Average"/>
    <tableColumn id="9" xr3:uid="{680A25EF-EFC8-470D-BA53-1BD0E8798D87}" name="Std Dev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03BDB72-3C50-4AF1-93DB-3AAC862F86F0}" name="Table36" displayName="Table36" ref="AN3:AV25" totalsRowShown="0">
  <autoFilter ref="AN3:AV25" xr:uid="{803BDB72-3C50-4AF1-93DB-3AAC862F86F0}"/>
  <tableColumns count="9">
    <tableColumn id="1" xr3:uid="{94E86A5B-CCFF-4C16-A6E6-CB5AD1C8D4FE}" name="NUM_GAMES"/>
    <tableColumn id="2" xr3:uid="{5E5525BD-0554-4DF0-A64A-8C9938C900C7}" name="POP_SIZE"/>
    <tableColumn id="3" xr3:uid="{41E912CF-1B84-4B51-9C34-A910E7F5FF95}" name="MAX_EVALUATIONS"/>
    <tableColumn id="4" xr3:uid="{ADCC5641-0C48-4296-BB6C-50EC2BD3DA73}" name="Max fitness">
      <calculatedColumnFormula>AN4*(2*AO4-1)*9</calculatedColumnFormula>
    </tableColumn>
    <tableColumn id="5" xr3:uid="{64A228F2-9967-47CC-AF50-D0FA627E9E96}" name="Worst"/>
    <tableColumn id="6" xr3:uid="{DA6ADEFB-ABF7-495F-B6B0-3A9FB287CD8A}" name="Best"/>
    <tableColumn id="7" xr3:uid="{5B3C5CFB-B34E-46CE-9D13-97DECDD52E28}" name="Median"/>
    <tableColumn id="8" xr3:uid="{83251AD5-E054-43CB-9537-B86A64104D1D}" name="Average"/>
    <tableColumn id="9" xr3:uid="{29B1F0FC-A089-466F-BD72-710011AE4CA8}" name="Std Dev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9922936-8F22-4B9B-A8C9-0DD4353ECDA9}" name="Table367" displayName="Table367" ref="C31:K53" totalsRowShown="0">
  <autoFilter ref="C31:K53" xr:uid="{99922936-8F22-4B9B-A8C9-0DD4353ECDA9}"/>
  <tableColumns count="9">
    <tableColumn id="1" xr3:uid="{371674DC-EA33-4436-A342-84E7FAC4E1FD}" name="NUM_GAMES"/>
    <tableColumn id="2" xr3:uid="{1830F024-7C07-4002-BF00-06BA4668EDD3}" name="POP_SIZE"/>
    <tableColumn id="3" xr3:uid="{15F8379D-9DE8-4F26-BD26-0ADBE67EE693}" name="MAX_EVALUATIONS"/>
    <tableColumn id="4" xr3:uid="{4FD7DFD0-CA3A-4B88-B656-EF5CB86E81C8}" name="Max fitness">
      <calculatedColumnFormula>C32*(2*D32-1)*9</calculatedColumnFormula>
    </tableColumn>
    <tableColumn id="5" xr3:uid="{67049B6D-74F6-4148-943E-C37A53D5376C}" name="Worst"/>
    <tableColumn id="6" xr3:uid="{F856FAA5-7787-4420-AF24-302CE2722BED}" name="Best"/>
    <tableColumn id="7" xr3:uid="{F100FB45-BCE8-4E08-91FD-60AEDA5C6763}" name="Median"/>
    <tableColumn id="8" xr3:uid="{9D8D354D-B870-4F08-B796-1A18A7EAE037}" name="Average"/>
    <tableColumn id="9" xr3:uid="{4E4E011D-03D6-4520-BDA1-030A73B3E196}" name="Std Dev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828EE-F471-4108-91FD-7D16CCFE1A54}" name="Table32" displayName="Table32" ref="AA31:AI53" totalsRowShown="0">
  <autoFilter ref="AA31:AI53" xr:uid="{F18828EE-F471-4108-91FD-7D16CCFE1A54}"/>
  <tableColumns count="9">
    <tableColumn id="1" xr3:uid="{BEA79028-84A3-4B00-9FD6-A6671550AED8}" name="NUM_GAMES"/>
    <tableColumn id="2" xr3:uid="{B156FFC2-8134-4151-8242-D026092E6129}" name="POP_SIZE"/>
    <tableColumn id="3" xr3:uid="{6928792F-CF39-4E80-AAD9-6DA2914FB220}" name="MAX_EVALUATIONS"/>
    <tableColumn id="4" xr3:uid="{2538D7AD-C7A1-4664-BEBB-B543727B9075}" name="Max fitness"/>
    <tableColumn id="5" xr3:uid="{4FD533E9-C3DE-497C-8420-3EC0ED61DD1E}" name="Worst"/>
    <tableColumn id="6" xr3:uid="{F742F2DB-873B-4966-A5F5-C876C9EEB43F}" name="Best"/>
    <tableColumn id="7" xr3:uid="{8DBB8B78-1F63-42ED-BEF1-06A80E43FD8C}" name="Median"/>
    <tableColumn id="8" xr3:uid="{6611E894-5865-45C6-8411-3E6E04C1F12D}" name="Average"/>
    <tableColumn id="9" xr3:uid="{BAAF0839-633D-4A70-985F-EE2745FC790E}" name="Std Dev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C8E4D3-42DE-47E1-B7ED-B366D581560A}" name="Table363" displayName="Table363" ref="O31:W53" totalsRowShown="0">
  <autoFilter ref="O31:W53" xr:uid="{EDC8E4D3-42DE-47E1-B7ED-B366D581560A}"/>
  <tableColumns count="9">
    <tableColumn id="1" xr3:uid="{9B8662A4-E722-4A02-813F-57AC5B170AE8}" name="NUM_GAMES"/>
    <tableColumn id="2" xr3:uid="{9ACF3727-4721-4F9B-B5D9-F22DCE7A7DCA}" name="POP_SIZE"/>
    <tableColumn id="3" xr3:uid="{B792EF3C-0B74-4330-80E5-A0E8D61CE18D}" name="MAX_EVALUATIONS"/>
    <tableColumn id="4" xr3:uid="{AED658CE-7A21-4C43-B477-CBFD876854DB}" name="Max fitness">
      <calculatedColumnFormula>O32*(2*P32-1)*9</calculatedColumnFormula>
    </tableColumn>
    <tableColumn id="5" xr3:uid="{FAB6E56C-4598-4C43-A75D-1C7DFD75F343}" name="Worst"/>
    <tableColumn id="6" xr3:uid="{5A5411FF-49A6-41B7-BD9E-F65D9E199159}" name="Best"/>
    <tableColumn id="7" xr3:uid="{09B8F365-E0F5-4DD1-836F-4DFA8338C596}" name="Median"/>
    <tableColumn id="8" xr3:uid="{F9FD4A1C-B2D0-4897-99B0-3DD6512A1B34}" name="Average"/>
    <tableColumn id="9" xr3:uid="{01704407-5C20-4E33-92E7-3519DEEFFEAD}" name="Std Dev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842D54-DBAC-4E95-ADE1-C98038F283E1}" name="Table3810" displayName="Table3810" ref="AM31:AU60" totalsRowShown="0">
  <autoFilter ref="AM31:AU60" xr:uid="{26842D54-DBAC-4E95-ADE1-C98038F283E1}"/>
  <tableColumns count="9">
    <tableColumn id="1" xr3:uid="{83C9257C-32D5-4082-9A05-6D2EEC627C7F}" name="NUM_GAMES"/>
    <tableColumn id="2" xr3:uid="{CF6ECAA6-D95E-44FC-9B9C-2AAC8A1C8000}" name="POP_SIZE"/>
    <tableColumn id="3" xr3:uid="{39A62337-A38C-45FA-859A-D68F3459C2C1}" name="MAX_EVALUATIONS"/>
    <tableColumn id="4" xr3:uid="{C773C7C5-5818-4B76-BD93-A699AD8F8AFB}" name="Max fitness">
      <calculatedColumnFormula>AM32*(2*AN32-1)*9</calculatedColumnFormula>
    </tableColumn>
    <tableColumn id="5" xr3:uid="{299EC119-05F8-4189-BB60-5E4A33D30501}" name="Worst"/>
    <tableColumn id="6" xr3:uid="{9DE31C72-25D8-481C-82D1-803D6A4E8A72}" name="Best"/>
    <tableColumn id="7" xr3:uid="{6620A88C-C2D7-4FF7-98E7-9AED93849FC9}" name="Median"/>
    <tableColumn id="8" xr3:uid="{792E89B8-21BC-44E9-907B-769D6A9EBCAC}" name="Average"/>
    <tableColumn id="9" xr3:uid="{041F48A7-F306-44CD-8783-869FC8AFF2B5}" name="Std Dev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8DBE5A-09B4-4A41-A393-27A7D3670214}" name="Table3635" displayName="Table3635" ref="AY31:BG53" totalsRowShown="0">
  <autoFilter ref="AY31:BG53" xr:uid="{E68DBE5A-09B4-4A41-A393-27A7D3670214}"/>
  <tableColumns count="9">
    <tableColumn id="1" xr3:uid="{8B599BA2-CD5A-4C19-BB5D-2B63739A2AA2}" name="NUM_GAMES"/>
    <tableColumn id="2" xr3:uid="{ED282D3D-2DEE-4457-AF91-B8FE1F49983E}" name="POP_SIZE"/>
    <tableColumn id="3" xr3:uid="{838BBB78-F6EC-474E-BB45-38D2C3A5FAD6}" name="MAX_EVALUATIONS"/>
    <tableColumn id="4" xr3:uid="{A6FBD5B7-5592-4CF9-B9BD-CA32267F3A2C}" name="Max fitness">
      <calculatedColumnFormula>AY32*(2*AZ32-1)*9</calculatedColumnFormula>
    </tableColumn>
    <tableColumn id="5" xr3:uid="{C7222E6D-6EFD-40BC-B819-22CE79E56122}" name="Worst"/>
    <tableColumn id="6" xr3:uid="{0E504301-A457-4397-95D0-C3A0CE1AF46D}" name="Best"/>
    <tableColumn id="7" xr3:uid="{09943420-4C54-4351-8000-4A17B59C9788}" name="Median"/>
    <tableColumn id="8" xr3:uid="{A957F02A-515C-4B3F-BC05-09912BF62826}" name="Average"/>
    <tableColumn id="9" xr3:uid="{6083CD9C-CF92-495E-9C8F-EFD2CCBCCCBC}" name="Std Dev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0F4486-98A3-41AC-B4C6-E9106E348B77}" name="Table328" displayName="Table328" ref="BK31:BU53" totalsRowShown="0">
  <autoFilter ref="BK31:BU53" xr:uid="{3C0F4486-98A3-41AC-B4C6-E9106E348B77}"/>
  <tableColumns count="11">
    <tableColumn id="1" xr3:uid="{650DD372-06D7-49B6-8E22-EB9B3D8AE0CD}" name="NUM_GAMES"/>
    <tableColumn id="2" xr3:uid="{8ABDBBDE-B94E-4C9F-BBC5-C8B7092A68A0}" name="POP_SIZE"/>
    <tableColumn id="3" xr3:uid="{625F29BF-BD3E-4AF8-96F5-20887C3D83C5}" name="MAX_EVALUATIONS"/>
    <tableColumn id="4" xr3:uid="{2DDEB02F-2949-4D2E-819A-B320D56F87F7}" name="Max fitness"/>
    <tableColumn id="11" xr3:uid="{9F0EFCC9-B95F-48D1-BE32-35C50D95D68D}" name="Column2"/>
    <tableColumn id="10" xr3:uid="{F8E11C10-06FA-4ED5-89FE-E0C1B958D5A8}" name="Column1"/>
    <tableColumn id="5" xr3:uid="{01F43C10-A960-446D-BE96-53D371D0B81B}" name="Worst"/>
    <tableColumn id="6" xr3:uid="{603434F1-6388-4188-B6AA-886AAB2E3DD6}" name="Best"/>
    <tableColumn id="7" xr3:uid="{D374DA81-2094-4AFC-9667-4D27AAE1714E}" name="Median"/>
    <tableColumn id="8" xr3:uid="{111426C2-0B54-456B-AC20-A827A8CD4AED}" name="Average"/>
    <tableColumn id="9" xr3:uid="{DDB5ED5C-DE23-4A11-9197-632304C32EDB}" name="Std Dev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7477B9-42AA-4499-B8FA-2A689B22B5B7}" name="Table36359" displayName="Table36359" ref="BY31:CG60" totalsRowShown="0">
  <autoFilter ref="BY31:CG60" xr:uid="{4F7477B9-42AA-4499-B8FA-2A689B22B5B7}"/>
  <tableColumns count="9">
    <tableColumn id="1" xr3:uid="{4DD5DEC6-A376-4203-AD7B-42CE5CBAE520}" name="NUM_GAMES"/>
    <tableColumn id="2" xr3:uid="{0372BE09-D705-4AF9-8CC0-7773767B0E9A}" name="POP_SIZE"/>
    <tableColumn id="3" xr3:uid="{EB971788-F209-45EB-8A29-10E6E906C043}" name="MAX_EVALUATIONS"/>
    <tableColumn id="4" xr3:uid="{B9AF33E5-0056-4835-BD6C-A7484C9F4AFD}" name="Max fitness">
      <calculatedColumnFormula>BY32*(2*BZ32-1)*9</calculatedColumnFormula>
    </tableColumn>
    <tableColumn id="5" xr3:uid="{37299C77-B599-4477-859B-6E525B5B1115}" name="Worst"/>
    <tableColumn id="6" xr3:uid="{D1BC6318-8858-460B-870F-3D8C3B0D05C5}" name="Best"/>
    <tableColumn id="7" xr3:uid="{3FE49B6D-A59F-4B43-B05D-E32CCE84B923}" name="Median"/>
    <tableColumn id="8" xr3:uid="{C2CB2280-7FE6-4080-81C6-D46FE3F77C9E}" name="Average"/>
    <tableColumn id="9" xr3:uid="{4B0C3D9E-7D53-41D1-87EA-342DA7A3BE41}" name="Std Dev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6B338F-6FC0-4C20-87D9-A970FF69100B}" name="Table363511" displayName="Table363511" ref="CW31:DE53" totalsRowShown="0">
  <autoFilter ref="CW31:DE53" xr:uid="{AB6B338F-6FC0-4C20-87D9-A970FF69100B}"/>
  <tableColumns count="9">
    <tableColumn id="1" xr3:uid="{D55A2F50-BBE7-4C22-9C9C-3852D667EA62}" name="NUM_GAMES"/>
    <tableColumn id="2" xr3:uid="{D1FBD886-6DEC-4555-85EE-6E978CA095FB}" name="POP_SIZE"/>
    <tableColumn id="3" xr3:uid="{E7086050-75AA-4B8A-8F23-5307D7D87E54}" name="MAX_EVALUATIONS"/>
    <tableColumn id="4" xr3:uid="{5706D084-1645-435D-8942-D533E099E7D5}" name="Max fitness" dataDxfId="2">
      <calculatedColumnFormula>3*9*Table363511[[#This Row],[NUM_GAMES]]</calculatedColumnFormula>
    </tableColumn>
    <tableColumn id="5" xr3:uid="{A7D12601-BF17-468C-8F22-2708F2D253B3}" name="Worst"/>
    <tableColumn id="6" xr3:uid="{4FDAF113-60D6-475F-9197-FD603D14B26E}" name="Best"/>
    <tableColumn id="7" xr3:uid="{BF3C1FE6-3D39-4E0F-AACB-828F76208FE2}" name="Median"/>
    <tableColumn id="8" xr3:uid="{B9CC0C9D-DEF3-4CDF-B358-9725D6570C14}" name="Average"/>
    <tableColumn id="9" xr3:uid="{B92DC6C1-03FF-40E7-9D7C-2C17E098A501}" name="Std Dev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294CEF-36D5-4935-A6FD-EA922FE56397}" name="Table36351112" displayName="Table36351112" ref="CK31:CS56" totalsRowShown="0">
  <autoFilter ref="CK31:CS56" xr:uid="{07294CEF-36D5-4935-A6FD-EA922FE56397}"/>
  <tableColumns count="9">
    <tableColumn id="1" xr3:uid="{E188DA55-F8ED-43CA-BF85-DA0D630AB557}" name="NUM_GAMES"/>
    <tableColumn id="2" xr3:uid="{129F20C9-39DF-4159-B851-0B89D53D54E9}" name="POP_SIZE"/>
    <tableColumn id="3" xr3:uid="{93D924ED-DA6A-4436-BEA0-C1A635CDB36A}" name="MAX_EVALUATIONS"/>
    <tableColumn id="4" xr3:uid="{A02C2CDB-E9A9-4E69-8CEA-6F7E3FC9D952}" name="Max fitness" dataDxfId="1">
      <calculatedColumnFormula>Table36351112[[#This Row],[NUM_GAMES]]*(Table36351112[[#This Row],[POP_SIZE]]-1)*9</calculatedColumnFormula>
    </tableColumn>
    <tableColumn id="5" xr3:uid="{ACC46462-3E6D-405B-99AE-C442AEAB28E3}" name="Worst" dataDxfId="0">
      <calculatedColumnFormula>IF(Table36351112[[#This Row],[Max fitness]]&gt;0.1,"y","")</calculatedColumnFormula>
    </tableColumn>
    <tableColumn id="6" xr3:uid="{3487042A-ED8B-42D5-938D-DF32EC17453D}" name="Best"/>
    <tableColumn id="7" xr3:uid="{3C9ED4F8-93D5-4471-8224-F600867B3C17}" name="Median"/>
    <tableColumn id="8" xr3:uid="{76C3D54C-86FD-4D17-B171-65DA69095CAF}" name="Average"/>
    <tableColumn id="9" xr3:uid="{EA47C482-16B7-4FC0-8A46-741BF06755B0}" name="Std Dev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6D9B-34F9-44C1-9C05-29B97EE9AFF1}">
  <dimension ref="A1:DE127"/>
  <sheetViews>
    <sheetView topLeftCell="A29" zoomScaleNormal="100" workbookViewId="0">
      <selection activeCell="BH68" sqref="BH68"/>
    </sheetView>
  </sheetViews>
  <sheetFormatPr defaultRowHeight="15" x14ac:dyDescent="0.25"/>
  <cols>
    <col min="2" max="2" width="5.7109375" customWidth="1"/>
    <col min="13" max="13" width="9.140625" customWidth="1"/>
    <col min="14" max="14" width="5.140625" customWidth="1"/>
    <col min="16" max="16" width="20.28515625" bestFit="1" customWidth="1"/>
    <col min="17" max="17" width="8.42578125" customWidth="1"/>
    <col min="18" max="18" width="8.5703125" customWidth="1"/>
    <col min="26" max="26" width="19.28515625" customWidth="1"/>
    <col min="27" max="27" width="7.28515625" customWidth="1"/>
    <col min="28" max="29" width="20.28515625" bestFit="1" customWidth="1"/>
    <col min="30" max="30" width="21.42578125" bestFit="1" customWidth="1"/>
    <col min="31" max="31" width="13.5703125" bestFit="1" customWidth="1"/>
    <col min="32" max="32" width="8.7109375" bestFit="1" customWidth="1"/>
    <col min="33" max="33" width="7.28515625" bestFit="1" customWidth="1"/>
    <col min="34" max="34" width="9.85546875" bestFit="1" customWidth="1"/>
    <col min="35" max="35" width="10.42578125" bestFit="1" customWidth="1"/>
    <col min="36" max="36" width="10.28515625" bestFit="1" customWidth="1"/>
    <col min="38" max="38" width="7.140625" customWidth="1"/>
    <col min="39" max="39" width="3.85546875" customWidth="1"/>
    <col min="40" max="40" width="20.28515625" bestFit="1" customWidth="1"/>
    <col min="41" max="41" width="11.7109375" bestFit="1" customWidth="1"/>
    <col min="42" max="42" width="20.7109375" bestFit="1" customWidth="1"/>
    <col min="43" max="43" width="13.5703125" bestFit="1" customWidth="1"/>
    <col min="44" max="44" width="8.7109375" bestFit="1" customWidth="1"/>
    <col min="45" max="45" width="7.28515625" bestFit="1" customWidth="1"/>
    <col min="46" max="46" width="9.85546875" bestFit="1" customWidth="1"/>
    <col min="47" max="47" width="10.42578125" bestFit="1" customWidth="1"/>
    <col min="48" max="48" width="10.28515625" bestFit="1" customWidth="1"/>
    <col min="50" max="50" width="23.140625" bestFit="1" customWidth="1"/>
    <col min="52" max="52" width="14.85546875" bestFit="1" customWidth="1"/>
    <col min="53" max="53" width="11.7109375" bestFit="1" customWidth="1"/>
    <col min="54" max="54" width="20.7109375" bestFit="1" customWidth="1"/>
    <col min="55" max="55" width="13.5703125" bestFit="1" customWidth="1"/>
    <col min="56" max="56" width="8.7109375" bestFit="1" customWidth="1"/>
    <col min="57" max="57" width="7.28515625" bestFit="1" customWidth="1"/>
    <col min="58" max="58" width="9.85546875" bestFit="1" customWidth="1"/>
    <col min="59" max="59" width="10.42578125" bestFit="1" customWidth="1"/>
    <col min="60" max="60" width="10.28515625" bestFit="1" customWidth="1"/>
    <col min="61" max="61" width="9.140625" customWidth="1"/>
    <col min="66" max="66" width="19.42578125" bestFit="1" customWidth="1"/>
    <col min="67" max="67" width="12.85546875" customWidth="1"/>
    <col min="68" max="68" width="13.85546875" customWidth="1"/>
    <col min="87" max="87" width="15.5703125" customWidth="1"/>
  </cols>
  <sheetData>
    <row r="1" spans="26:48" hidden="1" x14ac:dyDescent="0.25">
      <c r="AB1" s="8" t="s">
        <v>30</v>
      </c>
      <c r="AC1" s="8"/>
      <c r="AD1" s="8"/>
      <c r="AE1" s="8"/>
      <c r="AF1" s="8"/>
      <c r="AG1" s="8"/>
      <c r="AH1" s="8"/>
      <c r="AI1" s="8"/>
      <c r="AJ1" s="8"/>
      <c r="AN1" s="8" t="s">
        <v>31</v>
      </c>
      <c r="AO1" s="8"/>
      <c r="AP1" s="8"/>
      <c r="AQ1" s="8"/>
      <c r="AR1" s="8"/>
      <c r="AS1" s="8"/>
      <c r="AT1" s="8"/>
      <c r="AU1" s="8"/>
      <c r="AV1" s="8"/>
    </row>
    <row r="2" spans="26:48" hidden="1" x14ac:dyDescent="0.25">
      <c r="AB2" s="8"/>
      <c r="AC2" s="8"/>
      <c r="AD2" s="8"/>
      <c r="AE2" s="8"/>
      <c r="AF2" s="8"/>
      <c r="AG2" s="8"/>
      <c r="AH2" s="8"/>
      <c r="AI2" s="8"/>
      <c r="AJ2" s="8"/>
      <c r="AN2" s="8"/>
      <c r="AO2" s="8"/>
      <c r="AP2" s="8"/>
      <c r="AQ2" s="8"/>
      <c r="AR2" s="8"/>
      <c r="AS2" s="8"/>
      <c r="AT2" s="8"/>
      <c r="AU2" s="8"/>
      <c r="AV2" s="8"/>
    </row>
    <row r="3" spans="26:48" hidden="1" x14ac:dyDescent="0.25">
      <c r="AB3" t="s">
        <v>21</v>
      </c>
      <c r="AC3" t="s">
        <v>22</v>
      </c>
      <c r="AD3" t="s">
        <v>23</v>
      </c>
      <c r="AE3" t="s">
        <v>24</v>
      </c>
      <c r="AF3" t="s">
        <v>25</v>
      </c>
      <c r="AG3" t="s">
        <v>26</v>
      </c>
      <c r="AH3" t="s">
        <v>27</v>
      </c>
      <c r="AI3" t="s">
        <v>28</v>
      </c>
      <c r="AJ3" t="s">
        <v>29</v>
      </c>
      <c r="AN3" t="s">
        <v>21</v>
      </c>
      <c r="AO3" t="s">
        <v>22</v>
      </c>
      <c r="AP3" t="s">
        <v>23</v>
      </c>
      <c r="AQ3" t="s">
        <v>24</v>
      </c>
      <c r="AR3" t="s">
        <v>25</v>
      </c>
      <c r="AS3" t="s">
        <v>26</v>
      </c>
      <c r="AT3" t="s">
        <v>27</v>
      </c>
      <c r="AU3" t="s">
        <v>28</v>
      </c>
      <c r="AV3" t="s">
        <v>29</v>
      </c>
    </row>
    <row r="4" spans="26:48" hidden="1" x14ac:dyDescent="0.25">
      <c r="AB4">
        <v>6</v>
      </c>
      <c r="AC4">
        <v>6</v>
      </c>
      <c r="AD4">
        <v>48</v>
      </c>
      <c r="AE4">
        <f>AB4*(2*AC4-1)*9</f>
        <v>594</v>
      </c>
      <c r="AF4">
        <v>320</v>
      </c>
      <c r="AG4">
        <v>399</v>
      </c>
      <c r="AH4">
        <v>330</v>
      </c>
      <c r="AI4">
        <v>343</v>
      </c>
      <c r="AJ4">
        <v>28.6</v>
      </c>
      <c r="AN4">
        <v>6</v>
      </c>
      <c r="AO4">
        <v>6</v>
      </c>
      <c r="AP4">
        <v>48</v>
      </c>
      <c r="AQ4">
        <f>AN4*(2*AO4-1)*9</f>
        <v>594</v>
      </c>
      <c r="AR4">
        <v>359</v>
      </c>
      <c r="AS4">
        <v>396</v>
      </c>
      <c r="AT4">
        <v>365</v>
      </c>
      <c r="AU4">
        <v>373</v>
      </c>
      <c r="AV4">
        <v>14</v>
      </c>
    </row>
    <row r="5" spans="26:48" hidden="1" x14ac:dyDescent="0.25">
      <c r="Z5" t="s">
        <v>0</v>
      </c>
      <c r="AA5">
        <v>1</v>
      </c>
      <c r="AB5">
        <v>9.2872286722634395E-2</v>
      </c>
      <c r="AC5">
        <v>1</v>
      </c>
      <c r="AD5">
        <v>0.47369136565456199</v>
      </c>
      <c r="AF5">
        <f>AF4/$AE$4</f>
        <v>0.53872053872053871</v>
      </c>
      <c r="AG5">
        <f>AG4/$AE$4</f>
        <v>0.67171717171717171</v>
      </c>
      <c r="AH5">
        <f>AH4/$AE$4</f>
        <v>0.55555555555555558</v>
      </c>
      <c r="AI5">
        <f>AI4/$AE$4</f>
        <v>0.57744107744107742</v>
      </c>
      <c r="AL5" t="s">
        <v>0</v>
      </c>
      <c r="AM5">
        <v>1</v>
      </c>
      <c r="AN5">
        <v>0.317548891935094</v>
      </c>
    </row>
    <row r="6" spans="26:48" hidden="1" x14ac:dyDescent="0.25">
      <c r="Z6" t="s">
        <v>1</v>
      </c>
      <c r="AA6">
        <v>2</v>
      </c>
      <c r="AB6">
        <v>0</v>
      </c>
      <c r="AC6">
        <v>0.38454559304522601</v>
      </c>
      <c r="AD6">
        <v>1</v>
      </c>
      <c r="AL6" t="s">
        <v>1</v>
      </c>
      <c r="AM6">
        <v>2</v>
      </c>
      <c r="AN6">
        <v>0.64751488956779002</v>
      </c>
    </row>
    <row r="7" spans="26:48" hidden="1" x14ac:dyDescent="0.25">
      <c r="Z7" t="s">
        <v>2</v>
      </c>
      <c r="AA7">
        <v>3</v>
      </c>
      <c r="AB7">
        <v>0.368088357722273</v>
      </c>
      <c r="AC7">
        <v>1</v>
      </c>
      <c r="AD7">
        <v>0</v>
      </c>
      <c r="AL7" t="s">
        <v>2</v>
      </c>
      <c r="AM7">
        <v>3</v>
      </c>
      <c r="AN7">
        <v>0</v>
      </c>
    </row>
    <row r="8" spans="26:48" hidden="1" x14ac:dyDescent="0.25">
      <c r="Z8" t="s">
        <v>3</v>
      </c>
      <c r="AA8">
        <v>4</v>
      </c>
      <c r="AB8">
        <v>0.225431907975331</v>
      </c>
      <c r="AC8">
        <v>1</v>
      </c>
      <c r="AD8">
        <v>0.168229352966864</v>
      </c>
      <c r="AL8" t="s">
        <v>3</v>
      </c>
      <c r="AM8">
        <v>4</v>
      </c>
      <c r="AN8">
        <v>0</v>
      </c>
    </row>
    <row r="9" spans="26:48" hidden="1" x14ac:dyDescent="0.25">
      <c r="Z9" t="s">
        <v>4</v>
      </c>
      <c r="AA9">
        <v>5</v>
      </c>
      <c r="AB9">
        <v>1</v>
      </c>
      <c r="AC9">
        <v>1</v>
      </c>
      <c r="AD9">
        <v>0.47213115083521601</v>
      </c>
      <c r="AL9" t="s">
        <v>4</v>
      </c>
      <c r="AM9">
        <v>5</v>
      </c>
      <c r="AN9">
        <v>0.69177404393543096</v>
      </c>
    </row>
    <row r="10" spans="26:48" hidden="1" x14ac:dyDescent="0.25">
      <c r="Z10" t="s">
        <v>5</v>
      </c>
      <c r="AA10">
        <v>6</v>
      </c>
      <c r="AB10">
        <v>0.742770523053774</v>
      </c>
      <c r="AC10">
        <v>0.88292302922912203</v>
      </c>
      <c r="AD10">
        <v>0.642929778392625</v>
      </c>
      <c r="AL10" t="s">
        <v>5</v>
      </c>
      <c r="AM10">
        <v>6</v>
      </c>
      <c r="AN10">
        <v>1</v>
      </c>
    </row>
    <row r="11" spans="26:48" hidden="1" x14ac:dyDescent="0.25">
      <c r="Z11" t="s">
        <v>6</v>
      </c>
      <c r="AA11">
        <v>7</v>
      </c>
      <c r="AB11">
        <v>1</v>
      </c>
      <c r="AC11">
        <v>1</v>
      </c>
      <c r="AD11">
        <v>0.38877236605538801</v>
      </c>
      <c r="AL11" t="s">
        <v>6</v>
      </c>
      <c r="AM11">
        <v>7</v>
      </c>
      <c r="AN11">
        <v>0</v>
      </c>
    </row>
    <row r="12" spans="26:48" hidden="1" x14ac:dyDescent="0.25">
      <c r="Z12" t="s">
        <v>7</v>
      </c>
      <c r="AA12">
        <v>8</v>
      </c>
      <c r="AB12">
        <v>0.26815544115863499</v>
      </c>
      <c r="AC12">
        <v>0.293708772736336</v>
      </c>
      <c r="AD12">
        <v>0.10808054278621</v>
      </c>
      <c r="AL12" t="s">
        <v>7</v>
      </c>
      <c r="AM12">
        <v>8</v>
      </c>
      <c r="AN12">
        <v>0</v>
      </c>
    </row>
    <row r="13" spans="26:48" hidden="1" x14ac:dyDescent="0.25">
      <c r="Z13" t="s">
        <v>8</v>
      </c>
      <c r="AA13">
        <v>9</v>
      </c>
      <c r="AB13">
        <v>0</v>
      </c>
      <c r="AC13">
        <v>0.83437972905337399</v>
      </c>
      <c r="AD13">
        <v>0.54211018601006</v>
      </c>
      <c r="AL13" t="s">
        <v>8</v>
      </c>
      <c r="AM13">
        <v>9</v>
      </c>
      <c r="AN13">
        <v>0.81279056249775605</v>
      </c>
    </row>
    <row r="14" spans="26:48" hidden="1" x14ac:dyDescent="0.25">
      <c r="Z14" t="s">
        <v>9</v>
      </c>
      <c r="AA14">
        <v>10</v>
      </c>
      <c r="AB14">
        <v>0.61506488553775396</v>
      </c>
      <c r="AC14">
        <v>0</v>
      </c>
      <c r="AD14">
        <v>0.52233813871724</v>
      </c>
      <c r="AL14" t="s">
        <v>9</v>
      </c>
      <c r="AM14">
        <v>10</v>
      </c>
      <c r="AN14">
        <v>0.20562552504095499</v>
      </c>
    </row>
    <row r="15" spans="26:48" hidden="1" x14ac:dyDescent="0.25">
      <c r="Z15" t="s">
        <v>10</v>
      </c>
      <c r="AA15">
        <v>11</v>
      </c>
      <c r="AB15">
        <v>0.82595673930796198</v>
      </c>
      <c r="AC15">
        <v>0</v>
      </c>
      <c r="AD15">
        <v>0</v>
      </c>
      <c r="AL15" t="s">
        <v>10</v>
      </c>
      <c r="AM15">
        <v>11</v>
      </c>
      <c r="AN15">
        <v>1</v>
      </c>
    </row>
    <row r="16" spans="26:48" hidden="1" x14ac:dyDescent="0.25">
      <c r="Z16" t="s">
        <v>11</v>
      </c>
      <c r="AA16">
        <v>12</v>
      </c>
      <c r="AB16">
        <v>1</v>
      </c>
      <c r="AC16">
        <v>1</v>
      </c>
      <c r="AD16">
        <v>0.53155028105659896</v>
      </c>
      <c r="AL16" t="s">
        <v>11</v>
      </c>
      <c r="AM16">
        <v>12</v>
      </c>
      <c r="AN16">
        <v>0.31668524131750803</v>
      </c>
    </row>
    <row r="17" spans="3:109" hidden="1" x14ac:dyDescent="0.25">
      <c r="Z17" t="s">
        <v>12</v>
      </c>
      <c r="AA17">
        <v>13</v>
      </c>
      <c r="AB17">
        <v>1</v>
      </c>
      <c r="AC17">
        <v>0</v>
      </c>
      <c r="AD17">
        <v>5.2149913767948697E-2</v>
      </c>
      <c r="AL17" t="s">
        <v>12</v>
      </c>
      <c r="AM17">
        <v>13</v>
      </c>
      <c r="AN17">
        <v>0.77530369419001599</v>
      </c>
    </row>
    <row r="18" spans="3:109" hidden="1" x14ac:dyDescent="0.25">
      <c r="Z18" t="s">
        <v>13</v>
      </c>
      <c r="AA18">
        <v>14</v>
      </c>
      <c r="AB18">
        <v>1</v>
      </c>
      <c r="AC18">
        <v>0.830118921284414</v>
      </c>
      <c r="AD18">
        <v>0</v>
      </c>
      <c r="AL18" t="s">
        <v>13</v>
      </c>
      <c r="AM18">
        <v>14</v>
      </c>
      <c r="AN18">
        <v>1</v>
      </c>
    </row>
    <row r="19" spans="3:109" hidden="1" x14ac:dyDescent="0.25">
      <c r="Z19" t="s">
        <v>14</v>
      </c>
      <c r="AA19">
        <v>15</v>
      </c>
      <c r="AB19">
        <v>0.90347083464223998</v>
      </c>
      <c r="AC19">
        <v>0.61614505749220605</v>
      </c>
      <c r="AD19">
        <v>0.877995312221027</v>
      </c>
      <c r="AL19" t="s">
        <v>14</v>
      </c>
      <c r="AM19">
        <v>15</v>
      </c>
      <c r="AN19">
        <v>1</v>
      </c>
    </row>
    <row r="20" spans="3:109" hidden="1" x14ac:dyDescent="0.25">
      <c r="Z20" t="s">
        <v>15</v>
      </c>
      <c r="AA20">
        <v>16</v>
      </c>
      <c r="AB20">
        <v>0</v>
      </c>
      <c r="AC20">
        <v>0.52651173313330801</v>
      </c>
      <c r="AD20">
        <v>0.51558395370429899</v>
      </c>
      <c r="AL20" t="s">
        <v>15</v>
      </c>
      <c r="AM20">
        <v>16</v>
      </c>
      <c r="AN20">
        <v>0</v>
      </c>
    </row>
    <row r="21" spans="3:109" hidden="1" x14ac:dyDescent="0.25">
      <c r="Z21" t="s">
        <v>16</v>
      </c>
      <c r="AA21">
        <v>17</v>
      </c>
      <c r="AB21">
        <v>1</v>
      </c>
      <c r="AC21">
        <v>0</v>
      </c>
      <c r="AD21">
        <v>0.29327208923339798</v>
      </c>
      <c r="AL21" t="s">
        <v>16</v>
      </c>
      <c r="AM21">
        <v>17</v>
      </c>
      <c r="AN21">
        <v>0</v>
      </c>
    </row>
    <row r="22" spans="3:109" hidden="1" x14ac:dyDescent="0.25">
      <c r="Z22" t="s">
        <v>17</v>
      </c>
      <c r="AA22">
        <v>18</v>
      </c>
      <c r="AB22">
        <v>1</v>
      </c>
      <c r="AC22">
        <v>1</v>
      </c>
      <c r="AD22">
        <v>1</v>
      </c>
      <c r="AL22" t="s">
        <v>17</v>
      </c>
      <c r="AM22">
        <v>18</v>
      </c>
      <c r="AN22">
        <v>0</v>
      </c>
    </row>
    <row r="23" spans="3:109" hidden="1" x14ac:dyDescent="0.25">
      <c r="Z23" t="s">
        <v>18</v>
      </c>
      <c r="AA23">
        <v>19</v>
      </c>
      <c r="AB23">
        <v>0.63546534655342302</v>
      </c>
      <c r="AC23">
        <v>0</v>
      </c>
      <c r="AD23">
        <v>0.70871684158454296</v>
      </c>
      <c r="AL23" t="s">
        <v>18</v>
      </c>
      <c r="AM23">
        <v>19</v>
      </c>
      <c r="AN23">
        <v>1</v>
      </c>
    </row>
    <row r="24" spans="3:109" hidden="1" x14ac:dyDescent="0.25">
      <c r="Z24" t="s">
        <v>19</v>
      </c>
      <c r="AA24">
        <v>20</v>
      </c>
      <c r="AB24">
        <v>1</v>
      </c>
      <c r="AC24">
        <v>1</v>
      </c>
      <c r="AD24">
        <v>1</v>
      </c>
      <c r="AL24" t="s">
        <v>19</v>
      </c>
      <c r="AM24">
        <v>20</v>
      </c>
      <c r="AN24">
        <v>4.1051186745478002E-2</v>
      </c>
    </row>
    <row r="25" spans="3:109" hidden="1" x14ac:dyDescent="0.25">
      <c r="Z25" t="s">
        <v>20</v>
      </c>
      <c r="AA25">
        <v>21</v>
      </c>
      <c r="AB25">
        <v>0.16263872118230699</v>
      </c>
      <c r="AC25">
        <v>1</v>
      </c>
      <c r="AD25">
        <v>0.34528641978740898</v>
      </c>
      <c r="AL25" t="s">
        <v>20</v>
      </c>
      <c r="AM25">
        <v>21</v>
      </c>
      <c r="AN25">
        <v>0.79065162811592204</v>
      </c>
    </row>
    <row r="26" spans="3:109" hidden="1" x14ac:dyDescent="0.25"/>
    <row r="27" spans="3:109" hidden="1" x14ac:dyDescent="0.25"/>
    <row r="28" spans="3:109" hidden="1" x14ac:dyDescent="0.25"/>
    <row r="29" spans="3:109" x14ac:dyDescent="0.25">
      <c r="C29" s="8" t="s">
        <v>32</v>
      </c>
      <c r="D29" s="8"/>
      <c r="E29" s="8"/>
      <c r="F29" s="8"/>
      <c r="G29" s="8"/>
      <c r="H29" s="8"/>
      <c r="I29" s="8"/>
      <c r="J29" s="8"/>
      <c r="K29" s="8"/>
      <c r="O29" s="8" t="s">
        <v>31</v>
      </c>
      <c r="P29" s="8"/>
      <c r="Q29" s="8"/>
      <c r="R29" s="8"/>
      <c r="S29" s="8"/>
      <c r="T29" s="8"/>
      <c r="U29" s="8"/>
      <c r="V29" s="8"/>
      <c r="W29" s="8"/>
      <c r="AA29" s="8" t="s">
        <v>30</v>
      </c>
      <c r="AB29" s="8"/>
      <c r="AC29" s="8"/>
      <c r="AD29" s="8"/>
      <c r="AE29" s="8"/>
      <c r="AF29" s="8"/>
      <c r="AG29" s="8"/>
      <c r="AH29" s="8"/>
      <c r="AI29" s="8"/>
      <c r="AM29" s="8" t="s">
        <v>49</v>
      </c>
      <c r="AN29" s="8"/>
      <c r="AO29" s="8"/>
      <c r="AP29" s="8"/>
      <c r="AQ29" s="8"/>
      <c r="AR29" s="8"/>
      <c r="AS29" s="8"/>
      <c r="AT29" s="8"/>
      <c r="AU29" s="8"/>
      <c r="AY29" s="8" t="s">
        <v>73</v>
      </c>
      <c r="AZ29" s="8"/>
      <c r="BA29" s="8"/>
      <c r="BB29" s="8"/>
      <c r="BC29" s="8"/>
      <c r="BD29" s="8"/>
      <c r="BE29" s="8"/>
      <c r="BF29" s="8"/>
      <c r="BG29" s="8"/>
      <c r="BK29" s="8" t="s">
        <v>74</v>
      </c>
      <c r="BL29" s="8"/>
      <c r="BM29" s="8"/>
      <c r="BN29" s="8"/>
      <c r="BO29" s="8"/>
      <c r="BP29" s="8"/>
      <c r="BQ29" s="8"/>
      <c r="BR29" s="8"/>
      <c r="BS29" s="8"/>
      <c r="BT29" s="8"/>
      <c r="BU29" s="8"/>
      <c r="BY29" s="8" t="s">
        <v>77</v>
      </c>
      <c r="BZ29" s="8"/>
      <c r="CA29" s="8"/>
      <c r="CB29" s="8"/>
      <c r="CC29" s="8"/>
      <c r="CD29" s="8"/>
      <c r="CE29" s="8"/>
      <c r="CF29" s="8"/>
      <c r="CG29" s="8"/>
      <c r="CK29" s="8" t="s">
        <v>109</v>
      </c>
      <c r="CL29" s="8"/>
      <c r="CM29" s="8"/>
      <c r="CN29" s="8"/>
      <c r="CO29" s="8"/>
      <c r="CP29" s="8"/>
      <c r="CQ29" s="8"/>
      <c r="CR29" s="8"/>
      <c r="CS29" s="8"/>
      <c r="CW29" s="8" t="s">
        <v>108</v>
      </c>
      <c r="CX29" s="8"/>
      <c r="CY29" s="8"/>
      <c r="CZ29" s="8"/>
      <c r="DA29" s="8"/>
      <c r="DB29" s="8"/>
      <c r="DC29" s="8"/>
      <c r="DD29" s="8"/>
      <c r="DE29" s="8"/>
    </row>
    <row r="30" spans="3:109" x14ac:dyDescent="0.25">
      <c r="C30" s="8"/>
      <c r="D30" s="8"/>
      <c r="E30" s="8"/>
      <c r="F30" s="8"/>
      <c r="G30" s="8"/>
      <c r="H30" s="8"/>
      <c r="I30" s="8"/>
      <c r="J30" s="8"/>
      <c r="K30" s="8"/>
      <c r="O30" s="8"/>
      <c r="P30" s="8"/>
      <c r="Q30" s="8"/>
      <c r="R30" s="8"/>
      <c r="S30" s="8"/>
      <c r="T30" s="8"/>
      <c r="U30" s="8"/>
      <c r="V30" s="8"/>
      <c r="W30" s="8"/>
      <c r="AA30" s="8"/>
      <c r="AB30" s="8"/>
      <c r="AC30" s="8"/>
      <c r="AD30" s="8"/>
      <c r="AE30" s="8"/>
      <c r="AF30" s="8"/>
      <c r="AG30" s="8"/>
      <c r="AH30" s="8"/>
      <c r="AI30" s="8"/>
      <c r="AM30" s="8"/>
      <c r="AN30" s="8"/>
      <c r="AO30" s="8"/>
      <c r="AP30" s="8"/>
      <c r="AQ30" s="8"/>
      <c r="AR30" s="8"/>
      <c r="AS30" s="8"/>
      <c r="AT30" s="8"/>
      <c r="AU30" s="8"/>
      <c r="AY30" s="8"/>
      <c r="AZ30" s="8"/>
      <c r="BA30" s="8"/>
      <c r="BB30" s="8"/>
      <c r="BC30" s="8"/>
      <c r="BD30" s="8"/>
      <c r="BE30" s="8"/>
      <c r="BF30" s="8"/>
      <c r="BG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Y30" s="8"/>
      <c r="BZ30" s="8"/>
      <c r="CA30" s="8"/>
      <c r="CB30" s="8"/>
      <c r="CC30" s="8"/>
      <c r="CD30" s="8"/>
      <c r="CE30" s="8"/>
      <c r="CF30" s="8"/>
      <c r="CG30" s="8"/>
      <c r="CK30" s="8"/>
      <c r="CL30" s="8"/>
      <c r="CM30" s="8"/>
      <c r="CN30" s="8"/>
      <c r="CO30" s="8"/>
      <c r="CP30" s="8"/>
      <c r="CQ30" s="8"/>
      <c r="CR30" s="8"/>
      <c r="CS30" s="8"/>
      <c r="CW30" s="8"/>
      <c r="CX30" s="8"/>
      <c r="CY30" s="8"/>
      <c r="CZ30" s="8"/>
      <c r="DA30" s="8"/>
      <c r="DB30" s="8"/>
      <c r="DC30" s="8"/>
      <c r="DD30" s="8"/>
      <c r="DE30" s="8"/>
    </row>
    <row r="31" spans="3:109" x14ac:dyDescent="0.25">
      <c r="C31" t="s">
        <v>21</v>
      </c>
      <c r="D31" t="s">
        <v>22</v>
      </c>
      <c r="E31" t="s">
        <v>23</v>
      </c>
      <c r="F31" t="s">
        <v>24</v>
      </c>
      <c r="G31" t="s">
        <v>25</v>
      </c>
      <c r="H31" t="s">
        <v>26</v>
      </c>
      <c r="I31" t="s">
        <v>27</v>
      </c>
      <c r="J31" t="s">
        <v>28</v>
      </c>
      <c r="K31" t="s">
        <v>29</v>
      </c>
      <c r="O31" t="s">
        <v>21</v>
      </c>
      <c r="P31" t="s">
        <v>22</v>
      </c>
      <c r="Q31" t="s">
        <v>23</v>
      </c>
      <c r="R31" t="s">
        <v>24</v>
      </c>
      <c r="S31" t="s">
        <v>25</v>
      </c>
      <c r="T31" t="s">
        <v>26</v>
      </c>
      <c r="U31" t="s">
        <v>27</v>
      </c>
      <c r="V31" t="s">
        <v>28</v>
      </c>
      <c r="W31" t="s">
        <v>29</v>
      </c>
      <c r="AA31" t="s">
        <v>21</v>
      </c>
      <c r="AB31" t="s">
        <v>22</v>
      </c>
      <c r="AC31" t="s">
        <v>23</v>
      </c>
      <c r="AD31" t="s">
        <v>24</v>
      </c>
      <c r="AE31" t="s">
        <v>25</v>
      </c>
      <c r="AF31" t="s">
        <v>26</v>
      </c>
      <c r="AG31" t="s">
        <v>27</v>
      </c>
      <c r="AH31" t="s">
        <v>28</v>
      </c>
      <c r="AI31" t="s">
        <v>29</v>
      </c>
      <c r="AM31" t="s">
        <v>21</v>
      </c>
      <c r="AN31" t="s">
        <v>22</v>
      </c>
      <c r="AO31" t="s">
        <v>23</v>
      </c>
      <c r="AP31" t="s">
        <v>24</v>
      </c>
      <c r="AQ31" t="s">
        <v>25</v>
      </c>
      <c r="AR31" t="s">
        <v>26</v>
      </c>
      <c r="AS31" t="s">
        <v>27</v>
      </c>
      <c r="AT31" t="s">
        <v>28</v>
      </c>
      <c r="AU31" t="s">
        <v>29</v>
      </c>
      <c r="AY31" t="s">
        <v>21</v>
      </c>
      <c r="AZ31" t="s">
        <v>22</v>
      </c>
      <c r="BA31" t="s">
        <v>23</v>
      </c>
      <c r="BB31" t="s">
        <v>24</v>
      </c>
      <c r="BC31" t="s">
        <v>25</v>
      </c>
      <c r="BD31" t="s">
        <v>26</v>
      </c>
      <c r="BE31" t="s">
        <v>27</v>
      </c>
      <c r="BF31" t="s">
        <v>28</v>
      </c>
      <c r="BG31" t="s">
        <v>29</v>
      </c>
      <c r="BK31" t="s">
        <v>21</v>
      </c>
      <c r="BL31" t="s">
        <v>22</v>
      </c>
      <c r="BM31" t="s">
        <v>23</v>
      </c>
      <c r="BN31" t="s">
        <v>24</v>
      </c>
      <c r="BO31" t="s">
        <v>76</v>
      </c>
      <c r="BP31" t="s">
        <v>75</v>
      </c>
      <c r="BQ31" t="s">
        <v>25</v>
      </c>
      <c r="BR31" t="s">
        <v>26</v>
      </c>
      <c r="BS31" t="s">
        <v>27</v>
      </c>
      <c r="BT31" t="s">
        <v>28</v>
      </c>
      <c r="BU31" t="s">
        <v>29</v>
      </c>
      <c r="BY31" t="s">
        <v>21</v>
      </c>
      <c r="BZ31" t="s">
        <v>22</v>
      </c>
      <c r="CA31" t="s">
        <v>23</v>
      </c>
      <c r="CB31" t="s">
        <v>24</v>
      </c>
      <c r="CC31" t="s">
        <v>25</v>
      </c>
      <c r="CD31" t="s">
        <v>26</v>
      </c>
      <c r="CE31" t="s">
        <v>27</v>
      </c>
      <c r="CF31" t="s">
        <v>28</v>
      </c>
      <c r="CG31" t="s">
        <v>29</v>
      </c>
      <c r="CK31" t="s">
        <v>21</v>
      </c>
      <c r="CL31" t="s">
        <v>22</v>
      </c>
      <c r="CM31" t="s">
        <v>23</v>
      </c>
      <c r="CN31" t="s">
        <v>24</v>
      </c>
      <c r="CO31" t="s">
        <v>25</v>
      </c>
      <c r="CP31" t="s">
        <v>26</v>
      </c>
      <c r="CQ31" t="s">
        <v>27</v>
      </c>
      <c r="CR31" t="s">
        <v>28</v>
      </c>
      <c r="CS31" t="s">
        <v>29</v>
      </c>
      <c r="CW31" t="s">
        <v>21</v>
      </c>
      <c r="CX31" t="s">
        <v>22</v>
      </c>
      <c r="CY31" t="s">
        <v>23</v>
      </c>
      <c r="CZ31" t="s">
        <v>24</v>
      </c>
      <c r="DA31" t="s">
        <v>25</v>
      </c>
      <c r="DB31" t="s">
        <v>26</v>
      </c>
      <c r="DC31" t="s">
        <v>27</v>
      </c>
      <c r="DD31" t="s">
        <v>28</v>
      </c>
      <c r="DE31" t="s">
        <v>29</v>
      </c>
    </row>
    <row r="32" spans="3:109" x14ac:dyDescent="0.25">
      <c r="C32">
        <v>20</v>
      </c>
      <c r="D32">
        <v>10</v>
      </c>
      <c r="E32">
        <v>1000</v>
      </c>
      <c r="F32">
        <f>C32*(2*D32-1)*9</f>
        <v>3420</v>
      </c>
      <c r="O32">
        <v>8</v>
      </c>
      <c r="P32">
        <v>8</v>
      </c>
      <c r="Q32">
        <v>200</v>
      </c>
      <c r="R32">
        <f>O32*(2*P32-1)*9</f>
        <v>1080</v>
      </c>
      <c r="S32">
        <v>552</v>
      </c>
      <c r="T32">
        <v>597</v>
      </c>
      <c r="U32">
        <v>566</v>
      </c>
      <c r="V32">
        <v>570</v>
      </c>
      <c r="W32">
        <v>14</v>
      </c>
      <c r="AA32">
        <v>8</v>
      </c>
      <c r="AB32">
        <v>8</v>
      </c>
      <c r="AC32">
        <v>200</v>
      </c>
      <c r="AD32">
        <f>AA32*(2*AB32-1)*9</f>
        <v>1080</v>
      </c>
      <c r="AE32">
        <v>639</v>
      </c>
      <c r="AF32">
        <v>697</v>
      </c>
      <c r="AG32">
        <v>679</v>
      </c>
      <c r="AH32">
        <v>675</v>
      </c>
      <c r="AI32">
        <v>19</v>
      </c>
      <c r="AM32">
        <v>8</v>
      </c>
      <c r="AN32">
        <v>8</v>
      </c>
      <c r="AO32">
        <v>200</v>
      </c>
      <c r="AP32">
        <f>AM32*(2*AN32-1)*9</f>
        <v>1080</v>
      </c>
      <c r="AQ32">
        <v>320</v>
      </c>
      <c r="AR32">
        <v>399</v>
      </c>
      <c r="AS32">
        <v>330</v>
      </c>
      <c r="AT32">
        <v>343</v>
      </c>
      <c r="AU32">
        <v>28.6</v>
      </c>
      <c r="AY32">
        <v>8</v>
      </c>
      <c r="AZ32">
        <v>8</v>
      </c>
      <c r="BA32">
        <v>200</v>
      </c>
      <c r="BB32">
        <f>AY32*(2*AZ32-1)*9</f>
        <v>1080</v>
      </c>
      <c r="BC32">
        <v>654</v>
      </c>
      <c r="BD32">
        <v>684</v>
      </c>
      <c r="BE32">
        <v>668</v>
      </c>
      <c r="BF32">
        <v>667</v>
      </c>
      <c r="BG32">
        <v>9.4</v>
      </c>
      <c r="BK32">
        <v>8</v>
      </c>
      <c r="BL32">
        <v>8</v>
      </c>
      <c r="BM32">
        <v>200</v>
      </c>
      <c r="BN32">
        <f>BK32*(2*BL32-1)*9</f>
        <v>1080</v>
      </c>
      <c r="BQ32">
        <v>580</v>
      </c>
      <c r="BR32">
        <v>622</v>
      </c>
      <c r="BS32">
        <v>595</v>
      </c>
      <c r="BT32">
        <v>601.25</v>
      </c>
      <c r="BU32">
        <v>14.4</v>
      </c>
      <c r="BY32">
        <v>8</v>
      </c>
      <c r="BZ32">
        <v>8</v>
      </c>
      <c r="CA32">
        <v>200</v>
      </c>
      <c r="CB32">
        <f>BY32*(2*BZ32-1)*9</f>
        <v>1080</v>
      </c>
      <c r="CC32">
        <v>630</v>
      </c>
      <c r="CD32">
        <v>719</v>
      </c>
      <c r="CE32">
        <v>680</v>
      </c>
      <c r="CF32">
        <v>671</v>
      </c>
      <c r="CG32">
        <v>31.3</v>
      </c>
      <c r="CK32">
        <v>8</v>
      </c>
      <c r="CL32">
        <v>8</v>
      </c>
      <c r="CM32">
        <v>200</v>
      </c>
      <c r="CN32">
        <f>Table36351112[[#This Row],[NUM_GAMES]]*(Table36351112[[#This Row],[POP_SIZE]]-1)*9</f>
        <v>504</v>
      </c>
      <c r="CW32">
        <v>8</v>
      </c>
      <c r="CX32">
        <v>8</v>
      </c>
      <c r="CY32">
        <v>200</v>
      </c>
      <c r="CZ32">
        <f>7*9*Table363511[[#This Row],[NUM_GAMES]]</f>
        <v>504</v>
      </c>
    </row>
    <row r="33" spans="1:102" x14ac:dyDescent="0.25">
      <c r="A33" t="s">
        <v>0</v>
      </c>
      <c r="B33">
        <v>1</v>
      </c>
      <c r="C33">
        <v>0.33831719711374802</v>
      </c>
      <c r="M33" t="s">
        <v>0</v>
      </c>
      <c r="N33">
        <v>1</v>
      </c>
      <c r="O33">
        <v>0.46481172050390501</v>
      </c>
      <c r="Y33" t="s">
        <v>0</v>
      </c>
      <c r="Z33">
        <v>1</v>
      </c>
      <c r="AA33">
        <v>0</v>
      </c>
      <c r="AB33">
        <v>0.19198247655645401</v>
      </c>
      <c r="AC33">
        <v>0.49100855530030002</v>
      </c>
      <c r="AE33">
        <f>AE32/$AD$32</f>
        <v>0.59166666666666667</v>
      </c>
      <c r="AF33">
        <f>AF32/$AD$32</f>
        <v>0.64537037037037037</v>
      </c>
      <c r="AG33">
        <f>AG32/$AD$32</f>
        <v>0.62870370370370365</v>
      </c>
      <c r="AH33">
        <f>AH32/$AD$32</f>
        <v>0.625</v>
      </c>
      <c r="AK33" t="s">
        <v>0</v>
      </c>
      <c r="AL33">
        <v>1</v>
      </c>
      <c r="AM33" t="s">
        <v>33</v>
      </c>
      <c r="AQ33">
        <f>AQ32/$AE$4</f>
        <v>0.53872053872053871</v>
      </c>
      <c r="AR33">
        <f>AR32/$AE$4</f>
        <v>0.67171717171717171</v>
      </c>
      <c r="AS33">
        <f>AS32/$AE$4</f>
        <v>0.55555555555555558</v>
      </c>
      <c r="AT33">
        <f>AT32/$AE$4</f>
        <v>0.57744107744107742</v>
      </c>
      <c r="AW33" t="s">
        <v>0</v>
      </c>
      <c r="AX33">
        <v>1</v>
      </c>
      <c r="AY33">
        <v>0.52917258947262202</v>
      </c>
      <c r="BI33" t="s">
        <v>0</v>
      </c>
      <c r="BJ33">
        <v>1</v>
      </c>
      <c r="BK33">
        <v>0.50183096343014999</v>
      </c>
      <c r="BL33">
        <v>0.37226920824196702</v>
      </c>
      <c r="BM33">
        <v>0.98307296801857402</v>
      </c>
      <c r="BN33">
        <v>0.50183096343014999</v>
      </c>
      <c r="BO33">
        <v>0.47628480507854298</v>
      </c>
      <c r="BP33">
        <v>0.57289939868225803</v>
      </c>
      <c r="BQ33">
        <f>BQ32/$AD$32</f>
        <v>0.53703703703703709</v>
      </c>
      <c r="BR33">
        <f>BR32/$AD$32</f>
        <v>0.57592592592592595</v>
      </c>
      <c r="BS33">
        <f>BS32/$AD$32</f>
        <v>0.55092592592592593</v>
      </c>
      <c r="BT33">
        <f>BT32/$AD$32</f>
        <v>0.55671296296296291</v>
      </c>
      <c r="BW33" t="s">
        <v>0</v>
      </c>
      <c r="BX33">
        <v>1</v>
      </c>
      <c r="BY33" t="s">
        <v>78</v>
      </c>
      <c r="CC33">
        <f>CC32/$AD$32</f>
        <v>0.58333333333333337</v>
      </c>
      <c r="CD33">
        <f t="shared" ref="CD33:CF33" si="0">CD32/$AD$32</f>
        <v>0.66574074074074074</v>
      </c>
      <c r="CE33">
        <f t="shared" si="0"/>
        <v>0.62962962962962965</v>
      </c>
      <c r="CF33">
        <f t="shared" si="0"/>
        <v>0.62129629629629635</v>
      </c>
      <c r="CI33" t="s">
        <v>0</v>
      </c>
      <c r="CJ33">
        <v>1</v>
      </c>
      <c r="CK33">
        <v>0.79772286000000003</v>
      </c>
      <c r="CL33" s="11">
        <v>0.29200656000000003</v>
      </c>
      <c r="CU33" t="s">
        <v>0</v>
      </c>
      <c r="CV33">
        <v>1</v>
      </c>
      <c r="CW33" s="11">
        <v>0.40917530416215298</v>
      </c>
      <c r="CX33" s="11"/>
    </row>
    <row r="34" spans="1:102" x14ac:dyDescent="0.25">
      <c r="A34" t="s">
        <v>1</v>
      </c>
      <c r="B34">
        <v>2</v>
      </c>
      <c r="C34">
        <v>0.93466713178917704</v>
      </c>
      <c r="M34" t="s">
        <v>1</v>
      </c>
      <c r="N34">
        <v>2</v>
      </c>
      <c r="O34">
        <v>0.95701014128878603</v>
      </c>
      <c r="Y34" t="s">
        <v>1</v>
      </c>
      <c r="Z34">
        <v>2</v>
      </c>
      <c r="AA34">
        <v>0.838073450710207</v>
      </c>
      <c r="AB34">
        <v>0.55211593477965504</v>
      </c>
      <c r="AC34">
        <v>1</v>
      </c>
      <c r="AK34" t="s">
        <v>1</v>
      </c>
      <c r="AL34">
        <v>2</v>
      </c>
      <c r="AM34" t="s">
        <v>34</v>
      </c>
      <c r="AW34" t="s">
        <v>1</v>
      </c>
      <c r="AX34">
        <v>2</v>
      </c>
      <c r="AY34">
        <v>0.92284437363884497</v>
      </c>
      <c r="BI34" t="s">
        <v>1</v>
      </c>
      <c r="BJ34">
        <v>2</v>
      </c>
      <c r="BK34">
        <v>0.74234513637409505</v>
      </c>
      <c r="BL34">
        <v>1</v>
      </c>
      <c r="BM34">
        <v>1</v>
      </c>
      <c r="BN34">
        <v>0.74234513637409505</v>
      </c>
      <c r="BO34">
        <v>0.84234513637409503</v>
      </c>
      <c r="BP34">
        <v>0.942345136374095</v>
      </c>
      <c r="BW34" t="s">
        <v>1</v>
      </c>
      <c r="BX34">
        <v>2</v>
      </c>
      <c r="BY34" t="s">
        <v>34</v>
      </c>
      <c r="CI34" t="s">
        <v>1</v>
      </c>
      <c r="CJ34">
        <v>2</v>
      </c>
      <c r="CK34">
        <v>0.64642785999999997</v>
      </c>
      <c r="CL34" s="11">
        <v>0.98765521999999994</v>
      </c>
      <c r="CU34" t="s">
        <v>1</v>
      </c>
      <c r="CV34">
        <v>2</v>
      </c>
      <c r="CW34" s="11">
        <v>0.52698753142583099</v>
      </c>
      <c r="CX34" s="11"/>
    </row>
    <row r="35" spans="1:102" x14ac:dyDescent="0.25">
      <c r="A35" t="s">
        <v>2</v>
      </c>
      <c r="B35">
        <v>3</v>
      </c>
      <c r="C35">
        <v>9.3176192652155904E-2</v>
      </c>
      <c r="M35" t="s">
        <v>2</v>
      </c>
      <c r="N35">
        <v>3</v>
      </c>
      <c r="O35">
        <v>4.0338325912406797E-2</v>
      </c>
      <c r="Y35" t="s">
        <v>2</v>
      </c>
      <c r="Z35">
        <v>3</v>
      </c>
      <c r="AA35">
        <v>0.36941805210713202</v>
      </c>
      <c r="AB35">
        <v>0.31587989147309198</v>
      </c>
      <c r="AC35">
        <v>0</v>
      </c>
      <c r="AK35" t="s">
        <v>2</v>
      </c>
      <c r="AL35">
        <v>3</v>
      </c>
      <c r="AM35" t="s">
        <v>35</v>
      </c>
      <c r="AW35" t="s">
        <v>2</v>
      </c>
      <c r="AX35">
        <v>3</v>
      </c>
      <c r="AY35">
        <v>0</v>
      </c>
      <c r="BI35" t="s">
        <v>2</v>
      </c>
      <c r="BJ35">
        <v>3</v>
      </c>
      <c r="BK35">
        <v>0</v>
      </c>
      <c r="BL35">
        <v>0.57352947716242697</v>
      </c>
      <c r="BM35">
        <v>0.87383303656219302</v>
      </c>
      <c r="BN35">
        <v>0</v>
      </c>
      <c r="BO35">
        <v>1.4705895432485501E-2</v>
      </c>
      <c r="BP35">
        <v>8.9472502744924201E-2</v>
      </c>
      <c r="BW35" t="s">
        <v>2</v>
      </c>
      <c r="BX35">
        <v>3</v>
      </c>
      <c r="BY35" t="s">
        <v>35</v>
      </c>
      <c r="CI35" t="s">
        <v>2</v>
      </c>
      <c r="CJ35">
        <v>3</v>
      </c>
      <c r="CK35">
        <v>0.36333969999999999</v>
      </c>
      <c r="CL35" s="11">
        <v>2.0412759999999999E-2</v>
      </c>
      <c r="CU35" t="s">
        <v>2</v>
      </c>
      <c r="CV35">
        <v>3</v>
      </c>
      <c r="CW35" s="11">
        <v>7.7656758949381594E-2</v>
      </c>
      <c r="CX35" s="11"/>
    </row>
    <row r="36" spans="1:102" x14ac:dyDescent="0.25">
      <c r="A36" t="s">
        <v>3</v>
      </c>
      <c r="B36">
        <v>4</v>
      </c>
      <c r="C36">
        <v>0</v>
      </c>
      <c r="M36" t="s">
        <v>3</v>
      </c>
      <c r="N36">
        <v>4</v>
      </c>
      <c r="O36">
        <v>0.677012620405402</v>
      </c>
      <c r="Y36" t="s">
        <v>3</v>
      </c>
      <c r="Z36">
        <v>4</v>
      </c>
      <c r="AA36">
        <v>0.772175920311859</v>
      </c>
      <c r="AB36">
        <v>1</v>
      </c>
      <c r="AC36">
        <v>0.58455943867066595</v>
      </c>
      <c r="AK36" t="s">
        <v>3</v>
      </c>
      <c r="AL36">
        <v>4</v>
      </c>
      <c r="AM36" t="s">
        <v>35</v>
      </c>
      <c r="AW36" t="s">
        <v>3</v>
      </c>
      <c r="AX36">
        <v>4</v>
      </c>
      <c r="AY36">
        <v>0</v>
      </c>
      <c r="BI36" t="s">
        <v>3</v>
      </c>
      <c r="BJ36">
        <v>4</v>
      </c>
      <c r="BK36">
        <v>1</v>
      </c>
      <c r="BL36">
        <v>0.478299687284229</v>
      </c>
      <c r="BM36">
        <v>0.57748137724547399</v>
      </c>
      <c r="BN36">
        <v>1</v>
      </c>
      <c r="BO36">
        <v>0.995659937456845</v>
      </c>
      <c r="BP36">
        <v>1</v>
      </c>
      <c r="BW36" t="s">
        <v>3</v>
      </c>
      <c r="BX36">
        <v>4</v>
      </c>
      <c r="BY36" t="s">
        <v>79</v>
      </c>
      <c r="CI36" t="s">
        <v>3</v>
      </c>
      <c r="CJ36">
        <v>4</v>
      </c>
      <c r="CK36">
        <v>0.78405817</v>
      </c>
      <c r="CL36" s="11">
        <v>0.63498946000000001</v>
      </c>
      <c r="CU36" t="s">
        <v>3</v>
      </c>
      <c r="CV36">
        <v>4</v>
      </c>
      <c r="CW36" s="11">
        <v>4.9641048668960502E-3</v>
      </c>
      <c r="CX36" s="11"/>
    </row>
    <row r="37" spans="1:102" x14ac:dyDescent="0.25">
      <c r="A37" t="s">
        <v>4</v>
      </c>
      <c r="B37">
        <v>5</v>
      </c>
      <c r="C37">
        <v>0.75109902463000799</v>
      </c>
      <c r="M37" t="s">
        <v>4</v>
      </c>
      <c r="N37">
        <v>5</v>
      </c>
      <c r="O37">
        <v>0.33208831368657299</v>
      </c>
      <c r="Y37" t="s">
        <v>4</v>
      </c>
      <c r="Z37">
        <v>5</v>
      </c>
      <c r="AA37">
        <v>0.61234593074099897</v>
      </c>
      <c r="AB37">
        <v>0.73213136938490797</v>
      </c>
      <c r="AC37">
        <v>0.92934986309094703</v>
      </c>
      <c r="AK37" t="s">
        <v>4</v>
      </c>
      <c r="AL37">
        <v>5</v>
      </c>
      <c r="AM37" t="s">
        <v>34</v>
      </c>
      <c r="AW37" t="s">
        <v>4</v>
      </c>
      <c r="AX37">
        <v>5</v>
      </c>
      <c r="AY37">
        <v>1</v>
      </c>
      <c r="BI37" t="s">
        <v>4</v>
      </c>
      <c r="BJ37">
        <v>5</v>
      </c>
      <c r="BK37">
        <v>0.78896718984608705</v>
      </c>
      <c r="BL37">
        <v>9.4380478036499696E-2</v>
      </c>
      <c r="BM37">
        <v>0.19401655135429899</v>
      </c>
      <c r="BN37">
        <v>0.78896718984608705</v>
      </c>
      <c r="BO37">
        <v>0.70784328545338704</v>
      </c>
      <c r="BP37">
        <v>0.64664659572424699</v>
      </c>
      <c r="BW37" t="s">
        <v>4</v>
      </c>
      <c r="BX37">
        <v>5</v>
      </c>
      <c r="BY37" t="s">
        <v>80</v>
      </c>
      <c r="CI37" t="s">
        <v>4</v>
      </c>
      <c r="CJ37">
        <v>5</v>
      </c>
      <c r="CK37">
        <v>0.53132201000000001</v>
      </c>
      <c r="CL37" s="11">
        <v>0.74946424</v>
      </c>
      <c r="CU37" t="s">
        <v>4</v>
      </c>
      <c r="CV37">
        <v>5</v>
      </c>
      <c r="CW37" s="11">
        <v>0.619939334150715</v>
      </c>
      <c r="CX37" s="11"/>
    </row>
    <row r="38" spans="1:102" x14ac:dyDescent="0.25">
      <c r="A38" t="s">
        <v>5</v>
      </c>
      <c r="B38">
        <v>6</v>
      </c>
      <c r="C38">
        <v>1</v>
      </c>
      <c r="M38" t="s">
        <v>5</v>
      </c>
      <c r="N38">
        <v>6</v>
      </c>
      <c r="O38">
        <v>0.59926490401127697</v>
      </c>
      <c r="Y38" t="s">
        <v>5</v>
      </c>
      <c r="Z38">
        <v>6</v>
      </c>
      <c r="AA38">
        <v>0</v>
      </c>
      <c r="AB38">
        <v>0.87278090936615105</v>
      </c>
      <c r="AC38">
        <v>0.54118926815228496</v>
      </c>
      <c r="AK38" t="s">
        <v>5</v>
      </c>
      <c r="AL38">
        <v>6</v>
      </c>
      <c r="AM38" t="s">
        <v>34</v>
      </c>
      <c r="AW38" t="s">
        <v>5</v>
      </c>
      <c r="AX38">
        <v>6</v>
      </c>
      <c r="AY38">
        <v>0.97740797893963005</v>
      </c>
      <c r="BI38" t="s">
        <v>5</v>
      </c>
      <c r="BJ38">
        <v>6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W38" t="s">
        <v>5</v>
      </c>
      <c r="BX38">
        <v>6</v>
      </c>
      <c r="BY38" t="s">
        <v>81</v>
      </c>
      <c r="CI38" t="s">
        <v>5</v>
      </c>
      <c r="CJ38">
        <v>6</v>
      </c>
      <c r="CK38">
        <v>0.70726014000000004</v>
      </c>
      <c r="CL38" s="11">
        <v>0.94758803999999996</v>
      </c>
      <c r="CU38" t="s">
        <v>5</v>
      </c>
      <c r="CV38">
        <v>6</v>
      </c>
      <c r="CW38" s="11">
        <v>0.72476140637736797</v>
      </c>
      <c r="CX38" s="11"/>
    </row>
    <row r="39" spans="1:102" x14ac:dyDescent="0.25">
      <c r="A39" t="s">
        <v>6</v>
      </c>
      <c r="B39">
        <v>7</v>
      </c>
      <c r="C39">
        <v>0.96184788633787499</v>
      </c>
      <c r="M39" t="s">
        <v>6</v>
      </c>
      <c r="N39">
        <v>7</v>
      </c>
      <c r="O39">
        <v>0</v>
      </c>
      <c r="Y39" t="s">
        <v>6</v>
      </c>
      <c r="Z39">
        <v>7</v>
      </c>
      <c r="AA39">
        <v>1</v>
      </c>
      <c r="AB39">
        <v>0.628300921357689</v>
      </c>
      <c r="AC39">
        <v>1</v>
      </c>
      <c r="AK39" t="s">
        <v>6</v>
      </c>
      <c r="AL39">
        <v>7</v>
      </c>
      <c r="AM39" t="s">
        <v>34</v>
      </c>
      <c r="AW39" t="s">
        <v>6</v>
      </c>
      <c r="AX39">
        <v>7</v>
      </c>
      <c r="AY39">
        <v>0.52266707476493501</v>
      </c>
      <c r="BI39" t="s">
        <v>6</v>
      </c>
      <c r="BJ39">
        <v>7</v>
      </c>
      <c r="BK39">
        <v>0.58019040024808999</v>
      </c>
      <c r="BL39">
        <v>0</v>
      </c>
      <c r="BM39">
        <v>0.63618500168357905</v>
      </c>
      <c r="BN39">
        <v>0.58019040024808999</v>
      </c>
      <c r="BO39">
        <v>0.48019040024809001</v>
      </c>
      <c r="BP39">
        <v>0.50742740058480595</v>
      </c>
      <c r="BW39" t="s">
        <v>6</v>
      </c>
      <c r="BX39">
        <v>7</v>
      </c>
      <c r="BY39" t="s">
        <v>82</v>
      </c>
      <c r="CI39" t="s">
        <v>6</v>
      </c>
      <c r="CJ39">
        <v>7</v>
      </c>
      <c r="CK39">
        <v>0.37291523999999998</v>
      </c>
      <c r="CL39" s="11">
        <v>0.47603055999999999</v>
      </c>
      <c r="CU39" t="s">
        <v>6</v>
      </c>
      <c r="CV39">
        <v>7</v>
      </c>
      <c r="CW39" s="11">
        <v>0.458602264193951</v>
      </c>
      <c r="CX39" s="11"/>
    </row>
    <row r="40" spans="1:102" x14ac:dyDescent="0.25">
      <c r="A40" t="s">
        <v>7</v>
      </c>
      <c r="B40">
        <v>8</v>
      </c>
      <c r="C40">
        <v>0</v>
      </c>
      <c r="M40" t="s">
        <v>7</v>
      </c>
      <c r="N40">
        <v>8</v>
      </c>
      <c r="O40">
        <v>0</v>
      </c>
      <c r="Y40" t="s">
        <v>7</v>
      </c>
      <c r="Z40">
        <v>8</v>
      </c>
      <c r="AA40">
        <v>0.27929680791088402</v>
      </c>
      <c r="AB40">
        <v>0.61444571634723699</v>
      </c>
      <c r="AC40">
        <v>0</v>
      </c>
      <c r="AK40" t="s">
        <v>7</v>
      </c>
      <c r="AL40">
        <v>8</v>
      </c>
      <c r="AM40" t="s">
        <v>35</v>
      </c>
      <c r="AW40" t="s">
        <v>7</v>
      </c>
      <c r="AX40">
        <v>8</v>
      </c>
      <c r="AY40">
        <v>0.13107237590803</v>
      </c>
      <c r="BI40" t="s">
        <v>7</v>
      </c>
      <c r="BJ40">
        <v>8</v>
      </c>
      <c r="BK40">
        <v>0</v>
      </c>
      <c r="BL40">
        <v>0.56838519153971301</v>
      </c>
      <c r="BM40">
        <v>0</v>
      </c>
      <c r="BN40">
        <v>0</v>
      </c>
      <c r="BO40">
        <v>1.3677038307942599E-2</v>
      </c>
      <c r="BP40">
        <v>0</v>
      </c>
      <c r="BW40" t="s">
        <v>7</v>
      </c>
      <c r="BX40">
        <v>8</v>
      </c>
      <c r="BY40" t="s">
        <v>35</v>
      </c>
      <c r="CI40" t="s">
        <v>7</v>
      </c>
      <c r="CJ40">
        <v>8</v>
      </c>
      <c r="CK40">
        <v>0.20189695999999999</v>
      </c>
      <c r="CL40" s="11">
        <v>5.9881980000000001E-2</v>
      </c>
      <c r="CU40" t="s">
        <v>7</v>
      </c>
      <c r="CV40">
        <v>8</v>
      </c>
      <c r="CW40" s="11">
        <v>0.15632117815261101</v>
      </c>
      <c r="CX40" s="11"/>
    </row>
    <row r="41" spans="1:102" x14ac:dyDescent="0.25">
      <c r="A41" t="s">
        <v>8</v>
      </c>
      <c r="B41">
        <v>9</v>
      </c>
      <c r="C41">
        <v>1</v>
      </c>
      <c r="M41" t="s">
        <v>8</v>
      </c>
      <c r="N41">
        <v>9</v>
      </c>
      <c r="O41">
        <v>1</v>
      </c>
      <c r="Y41" t="s">
        <v>8</v>
      </c>
      <c r="Z41">
        <v>9</v>
      </c>
      <c r="AA41">
        <v>1</v>
      </c>
      <c r="AB41">
        <v>1</v>
      </c>
      <c r="AC41">
        <v>0</v>
      </c>
      <c r="AK41" t="s">
        <v>8</v>
      </c>
      <c r="AL41">
        <v>9</v>
      </c>
      <c r="AM41" t="s">
        <v>36</v>
      </c>
      <c r="AW41" t="s">
        <v>8</v>
      </c>
      <c r="AX41">
        <v>9</v>
      </c>
      <c r="AY41">
        <v>1</v>
      </c>
      <c r="BI41" t="s">
        <v>8</v>
      </c>
      <c r="BJ41">
        <v>9</v>
      </c>
      <c r="BK41">
        <v>0.26450840963181199</v>
      </c>
      <c r="BL41">
        <v>0</v>
      </c>
      <c r="BM41">
        <v>0.39191684186863002</v>
      </c>
      <c r="BN41">
        <v>0.26450840963181199</v>
      </c>
      <c r="BO41">
        <v>0.16450840963181201</v>
      </c>
      <c r="BP41">
        <v>0.14289177800553801</v>
      </c>
      <c r="BW41" t="s">
        <v>8</v>
      </c>
      <c r="BX41">
        <v>9</v>
      </c>
      <c r="BY41" t="s">
        <v>34</v>
      </c>
      <c r="CI41" t="s">
        <v>8</v>
      </c>
      <c r="CJ41">
        <v>9</v>
      </c>
      <c r="CK41">
        <v>7.0149279999999994E-2</v>
      </c>
      <c r="CL41" s="11">
        <v>0.40201173000000001</v>
      </c>
      <c r="CU41" t="s">
        <v>8</v>
      </c>
      <c r="CV41">
        <v>9</v>
      </c>
      <c r="CW41" s="11">
        <v>0.40243406150630601</v>
      </c>
      <c r="CX41" s="11"/>
    </row>
    <row r="42" spans="1:102" x14ac:dyDescent="0.25">
      <c r="A42" t="s">
        <v>9</v>
      </c>
      <c r="B42">
        <v>10</v>
      </c>
      <c r="C42">
        <v>0.55293794800527796</v>
      </c>
      <c r="M42" t="s">
        <v>9</v>
      </c>
      <c r="N42">
        <v>10</v>
      </c>
      <c r="O42">
        <v>1</v>
      </c>
      <c r="Y42" t="s">
        <v>9</v>
      </c>
      <c r="Z42">
        <v>10</v>
      </c>
      <c r="AA42">
        <v>3.9908815338230499E-2</v>
      </c>
      <c r="AB42">
        <v>0.75212734630880296</v>
      </c>
      <c r="AC42">
        <v>0.97891183984548202</v>
      </c>
      <c r="AK42" t="s">
        <v>9</v>
      </c>
      <c r="AL42">
        <v>10</v>
      </c>
      <c r="AM42" t="s">
        <v>34</v>
      </c>
      <c r="AW42" t="s">
        <v>9</v>
      </c>
      <c r="AX42">
        <v>10</v>
      </c>
      <c r="AY42">
        <v>0.57348151367520295</v>
      </c>
      <c r="BI42" t="s">
        <v>9</v>
      </c>
      <c r="BJ42">
        <v>10</v>
      </c>
      <c r="BK42">
        <v>0.49188495725867798</v>
      </c>
      <c r="BL42">
        <v>0.35243345866313402</v>
      </c>
      <c r="BM42">
        <v>1</v>
      </c>
      <c r="BN42">
        <v>0.49188495725867798</v>
      </c>
      <c r="BO42">
        <v>0.46237164899130501</v>
      </c>
      <c r="BP42">
        <v>0.56237164899130498</v>
      </c>
      <c r="BW42" t="s">
        <v>9</v>
      </c>
      <c r="BX42">
        <v>10</v>
      </c>
      <c r="BY42" t="s">
        <v>34</v>
      </c>
      <c r="CI42" t="s">
        <v>9</v>
      </c>
      <c r="CJ42">
        <v>10</v>
      </c>
      <c r="CK42">
        <v>0.78355543999999999</v>
      </c>
      <c r="CL42" s="11">
        <v>0.1345972</v>
      </c>
      <c r="CU42" t="s">
        <v>9</v>
      </c>
      <c r="CV42">
        <v>10</v>
      </c>
      <c r="CW42" s="11">
        <v>0.96337409022310405</v>
      </c>
      <c r="CX42" s="11"/>
    </row>
    <row r="43" spans="1:102" x14ac:dyDescent="0.25">
      <c r="A43" t="s">
        <v>10</v>
      </c>
      <c r="B43">
        <v>11</v>
      </c>
      <c r="C43">
        <v>0.59671345821399002</v>
      </c>
      <c r="M43" t="s">
        <v>10</v>
      </c>
      <c r="N43">
        <v>11</v>
      </c>
      <c r="O43">
        <v>1</v>
      </c>
      <c r="Y43" t="s">
        <v>10</v>
      </c>
      <c r="Z43">
        <v>11</v>
      </c>
      <c r="AA43">
        <v>0.93716941113188901</v>
      </c>
      <c r="AB43">
        <v>0.80085905871032503</v>
      </c>
      <c r="AC43">
        <v>0.70836181684858202</v>
      </c>
      <c r="AK43" t="s">
        <v>10</v>
      </c>
      <c r="AL43">
        <v>11</v>
      </c>
      <c r="AM43" t="s">
        <v>37</v>
      </c>
      <c r="AW43" t="s">
        <v>10</v>
      </c>
      <c r="AX43">
        <v>11</v>
      </c>
      <c r="AY43">
        <v>0.820908326273313</v>
      </c>
      <c r="BI43" t="s">
        <v>10</v>
      </c>
      <c r="BJ43">
        <v>11</v>
      </c>
      <c r="BK43">
        <v>0.41708830753363701</v>
      </c>
      <c r="BL43">
        <v>0</v>
      </c>
      <c r="BM43">
        <v>0.14905976203447499</v>
      </c>
      <c r="BN43">
        <v>0.41708830753363701</v>
      </c>
      <c r="BO43">
        <v>0.31708830753363698</v>
      </c>
      <c r="BP43">
        <v>0.246900259940532</v>
      </c>
      <c r="BW43" t="s">
        <v>10</v>
      </c>
      <c r="BX43">
        <v>11</v>
      </c>
      <c r="BY43" t="s">
        <v>83</v>
      </c>
      <c r="CI43" t="s">
        <v>10</v>
      </c>
      <c r="CJ43">
        <v>11</v>
      </c>
      <c r="CK43">
        <v>0.69463728000000002</v>
      </c>
      <c r="CL43" s="11">
        <v>0.29181047999999998</v>
      </c>
      <c r="CU43" t="s">
        <v>10</v>
      </c>
      <c r="CV43">
        <v>11</v>
      </c>
      <c r="CW43" s="11">
        <v>0.30057450818491099</v>
      </c>
      <c r="CX43" s="11"/>
    </row>
    <row r="44" spans="1:102" x14ac:dyDescent="0.25">
      <c r="A44" t="s">
        <v>11</v>
      </c>
      <c r="B44">
        <v>12</v>
      </c>
      <c r="C44">
        <v>0</v>
      </c>
      <c r="M44" t="s">
        <v>11</v>
      </c>
      <c r="N44">
        <v>12</v>
      </c>
      <c r="O44">
        <v>9.11049655758914E-2</v>
      </c>
      <c r="Y44" t="s">
        <v>11</v>
      </c>
      <c r="Z44">
        <v>12</v>
      </c>
      <c r="AA44">
        <v>1</v>
      </c>
      <c r="AB44">
        <v>0.80573120255910602</v>
      </c>
      <c r="AC44">
        <v>1</v>
      </c>
      <c r="AK44" t="s">
        <v>11</v>
      </c>
      <c r="AL44">
        <v>12</v>
      </c>
      <c r="AM44" t="s">
        <v>34</v>
      </c>
      <c r="AW44" t="s">
        <v>11</v>
      </c>
      <c r="AX44">
        <v>12</v>
      </c>
      <c r="AY44">
        <v>1</v>
      </c>
      <c r="BI44" t="s">
        <v>11</v>
      </c>
      <c r="BJ44">
        <v>12</v>
      </c>
      <c r="BK44">
        <v>9.9834410780098096E-2</v>
      </c>
      <c r="BL44">
        <v>0</v>
      </c>
      <c r="BM44">
        <v>0</v>
      </c>
      <c r="BN44">
        <v>9.9834410780098096E-2</v>
      </c>
      <c r="BO44">
        <v>0</v>
      </c>
      <c r="BP44">
        <v>0</v>
      </c>
      <c r="BW44" t="s">
        <v>11</v>
      </c>
      <c r="BX44">
        <v>12</v>
      </c>
      <c r="BY44" t="s">
        <v>84</v>
      </c>
      <c r="CI44" t="s">
        <v>11</v>
      </c>
      <c r="CJ44">
        <v>12</v>
      </c>
      <c r="CK44">
        <v>0.58370084</v>
      </c>
      <c r="CL44" s="11">
        <v>0.18548338</v>
      </c>
      <c r="CU44" t="s">
        <v>11</v>
      </c>
      <c r="CV44">
        <v>12</v>
      </c>
      <c r="CW44" s="11">
        <v>0.41817241380633002</v>
      </c>
      <c r="CX44" s="11"/>
    </row>
    <row r="45" spans="1:102" x14ac:dyDescent="0.25">
      <c r="A45" t="s">
        <v>12</v>
      </c>
      <c r="B45">
        <v>13</v>
      </c>
      <c r="C45">
        <v>1</v>
      </c>
      <c r="M45" t="s">
        <v>12</v>
      </c>
      <c r="N45">
        <v>13</v>
      </c>
      <c r="O45">
        <v>0.68448470799606498</v>
      </c>
      <c r="Y45" t="s">
        <v>12</v>
      </c>
      <c r="Z45">
        <v>13</v>
      </c>
      <c r="AA45">
        <v>0.62226011233405598</v>
      </c>
      <c r="AB45">
        <v>0.24495123880841299</v>
      </c>
      <c r="AC45">
        <v>0.182623231124625</v>
      </c>
      <c r="AK45" t="s">
        <v>12</v>
      </c>
      <c r="AL45">
        <v>13</v>
      </c>
      <c r="AM45" t="s">
        <v>35</v>
      </c>
      <c r="AW45" t="s">
        <v>12</v>
      </c>
      <c r="AX45">
        <v>13</v>
      </c>
      <c r="AY45">
        <v>0.76201419222108302</v>
      </c>
      <c r="BI45" t="s">
        <v>12</v>
      </c>
      <c r="BJ45">
        <v>13</v>
      </c>
      <c r="BK45">
        <v>0.31259996217078601</v>
      </c>
      <c r="BL45">
        <v>0.68074720817694001</v>
      </c>
      <c r="BM45">
        <v>0.26151978270587001</v>
      </c>
      <c r="BN45">
        <v>0.31259996217078601</v>
      </c>
      <c r="BO45">
        <v>0.34874940380617397</v>
      </c>
      <c r="BP45">
        <v>0.30105336034734798</v>
      </c>
      <c r="BW45" t="s">
        <v>12</v>
      </c>
      <c r="BX45">
        <v>13</v>
      </c>
      <c r="BY45" t="s">
        <v>85</v>
      </c>
      <c r="CI45" t="s">
        <v>12</v>
      </c>
      <c r="CJ45">
        <v>13</v>
      </c>
      <c r="CK45">
        <v>0.91649906000000003</v>
      </c>
      <c r="CL45" s="11">
        <v>0.38815854</v>
      </c>
      <c r="CU45" t="s">
        <v>12</v>
      </c>
      <c r="CV45">
        <v>13</v>
      </c>
      <c r="CW45" s="11">
        <v>0.21760228250336799</v>
      </c>
      <c r="CX45" s="11"/>
    </row>
    <row r="46" spans="1:102" x14ac:dyDescent="0.25">
      <c r="A46" t="s">
        <v>13</v>
      </c>
      <c r="B46">
        <v>14</v>
      </c>
      <c r="C46">
        <v>0</v>
      </c>
      <c r="M46" t="s">
        <v>13</v>
      </c>
      <c r="N46">
        <v>14</v>
      </c>
      <c r="O46">
        <v>0.36973830370102601</v>
      </c>
      <c r="Y46" t="s">
        <v>13</v>
      </c>
      <c r="Z46">
        <v>14</v>
      </c>
      <c r="AA46">
        <v>0</v>
      </c>
      <c r="AB46">
        <v>0.70386338941854298</v>
      </c>
      <c r="AC46">
        <v>1.9490828755630799E-2</v>
      </c>
      <c r="AK46" t="s">
        <v>13</v>
      </c>
      <c r="AL46">
        <v>14</v>
      </c>
      <c r="AM46" t="s">
        <v>38</v>
      </c>
      <c r="AW46" t="s">
        <v>13</v>
      </c>
      <c r="AX46">
        <v>14</v>
      </c>
      <c r="AY46">
        <v>0</v>
      </c>
      <c r="BI46" t="s">
        <v>13</v>
      </c>
      <c r="BJ46">
        <v>14</v>
      </c>
      <c r="BK46">
        <v>1</v>
      </c>
      <c r="BL46">
        <v>0</v>
      </c>
      <c r="BM46">
        <v>0.53253449726006696</v>
      </c>
      <c r="BN46">
        <v>1</v>
      </c>
      <c r="BO46">
        <v>0.9</v>
      </c>
      <c r="BP46">
        <v>0.90650689945201302</v>
      </c>
      <c r="BW46" t="s">
        <v>13</v>
      </c>
      <c r="BX46">
        <v>14</v>
      </c>
      <c r="BY46" t="s">
        <v>86</v>
      </c>
      <c r="CI46" t="s">
        <v>13</v>
      </c>
      <c r="CJ46">
        <v>14</v>
      </c>
      <c r="CK46">
        <v>0.474657</v>
      </c>
      <c r="CL46" s="11">
        <v>0.27825873000000001</v>
      </c>
      <c r="CU46" t="s">
        <v>13</v>
      </c>
      <c r="CV46">
        <v>14</v>
      </c>
      <c r="CW46" s="11">
        <v>5.2087530798276001E-2</v>
      </c>
      <c r="CX46" s="11"/>
    </row>
    <row r="47" spans="1:102" x14ac:dyDescent="0.25">
      <c r="A47" t="s">
        <v>14</v>
      </c>
      <c r="B47">
        <v>15</v>
      </c>
      <c r="C47">
        <v>0</v>
      </c>
      <c r="M47" t="s">
        <v>14</v>
      </c>
      <c r="N47">
        <v>15</v>
      </c>
      <c r="O47">
        <v>0.32305280199563302</v>
      </c>
      <c r="Y47" t="s">
        <v>14</v>
      </c>
      <c r="Z47">
        <v>15</v>
      </c>
      <c r="AA47">
        <v>0.55344351954543602</v>
      </c>
      <c r="AB47">
        <v>0.45825830752039998</v>
      </c>
      <c r="AC47">
        <v>1</v>
      </c>
      <c r="AK47" t="s">
        <v>14</v>
      </c>
      <c r="AL47">
        <v>15</v>
      </c>
      <c r="AM47" t="s">
        <v>34</v>
      </c>
      <c r="AW47" t="s">
        <v>14</v>
      </c>
      <c r="AX47">
        <v>15</v>
      </c>
      <c r="AY47">
        <v>0.84690127845555796</v>
      </c>
      <c r="BI47" t="s">
        <v>14</v>
      </c>
      <c r="BJ47">
        <v>15</v>
      </c>
      <c r="BK47">
        <v>0</v>
      </c>
      <c r="BL47">
        <v>0.69524107641006605</v>
      </c>
      <c r="BM47">
        <v>0</v>
      </c>
      <c r="BN47">
        <v>0</v>
      </c>
      <c r="BO47">
        <v>3.9048215282013299E-2</v>
      </c>
      <c r="BP47">
        <v>0</v>
      </c>
      <c r="BW47" t="s">
        <v>14</v>
      </c>
      <c r="BX47">
        <v>15</v>
      </c>
      <c r="BY47" t="s">
        <v>87</v>
      </c>
      <c r="CI47" t="s">
        <v>14</v>
      </c>
      <c r="CJ47">
        <v>15</v>
      </c>
      <c r="CK47">
        <v>0.67174752999999998</v>
      </c>
      <c r="CL47" s="11">
        <v>0.83269857999999997</v>
      </c>
      <c r="CU47" t="s">
        <v>14</v>
      </c>
      <c r="CV47">
        <v>15</v>
      </c>
      <c r="CW47" s="11">
        <v>0.18864788546957101</v>
      </c>
      <c r="CX47" s="11"/>
    </row>
    <row r="48" spans="1:102" x14ac:dyDescent="0.25">
      <c r="A48" t="s">
        <v>15</v>
      </c>
      <c r="B48">
        <v>16</v>
      </c>
      <c r="C48">
        <v>1</v>
      </c>
      <c r="M48" t="s">
        <v>15</v>
      </c>
      <c r="N48">
        <v>16</v>
      </c>
      <c r="O48">
        <v>1</v>
      </c>
      <c r="Y48" t="s">
        <v>15</v>
      </c>
      <c r="Z48">
        <v>16</v>
      </c>
      <c r="AA48">
        <v>0.78854921023547897</v>
      </c>
      <c r="AB48">
        <v>0.452925121989114</v>
      </c>
      <c r="AC48">
        <v>0.44366458342977</v>
      </c>
      <c r="AK48" t="s">
        <v>15</v>
      </c>
      <c r="AL48">
        <v>16</v>
      </c>
      <c r="AM48" t="s">
        <v>39</v>
      </c>
      <c r="AW48" t="s">
        <v>15</v>
      </c>
      <c r="AX48">
        <v>16</v>
      </c>
      <c r="AY48">
        <v>0.23343418754182099</v>
      </c>
      <c r="BI48" t="s">
        <v>15</v>
      </c>
      <c r="BJ48">
        <v>16</v>
      </c>
      <c r="BK48">
        <v>0.27976033425320701</v>
      </c>
      <c r="BL48">
        <v>0.21102217392657599</v>
      </c>
      <c r="BM48">
        <v>0.73824332706682805</v>
      </c>
      <c r="BN48">
        <v>0.27976033425320701</v>
      </c>
      <c r="BO48">
        <v>0.221964769038522</v>
      </c>
      <c r="BP48">
        <v>0.26961343445188801</v>
      </c>
      <c r="BW48" t="s">
        <v>15</v>
      </c>
      <c r="BX48">
        <v>16</v>
      </c>
      <c r="BY48" t="s">
        <v>88</v>
      </c>
      <c r="CI48" t="s">
        <v>15</v>
      </c>
      <c r="CJ48">
        <v>16</v>
      </c>
      <c r="CK48">
        <v>0.16183945</v>
      </c>
      <c r="CL48" s="11">
        <v>0.61753035999999994</v>
      </c>
      <c r="CU48" t="s">
        <v>15</v>
      </c>
      <c r="CV48">
        <v>16</v>
      </c>
      <c r="CW48" s="11">
        <v>0.33605977672704401</v>
      </c>
      <c r="CX48" s="11"/>
    </row>
    <row r="49" spans="1:102" x14ac:dyDescent="0.25">
      <c r="A49" t="s">
        <v>16</v>
      </c>
      <c r="B49">
        <v>17</v>
      </c>
      <c r="C49">
        <v>0</v>
      </c>
      <c r="M49" t="s">
        <v>16</v>
      </c>
      <c r="N49">
        <v>17</v>
      </c>
      <c r="O49">
        <v>0.19364469472391199</v>
      </c>
      <c r="Y49" t="s">
        <v>16</v>
      </c>
      <c r="Z49">
        <v>17</v>
      </c>
      <c r="AA49">
        <v>0.34360099288912299</v>
      </c>
      <c r="AB49">
        <v>6.6812968295917305E-2</v>
      </c>
      <c r="AC49">
        <v>0.63047058128913402</v>
      </c>
      <c r="AK49" t="s">
        <v>16</v>
      </c>
      <c r="AL49">
        <v>17</v>
      </c>
      <c r="AM49" t="s">
        <v>40</v>
      </c>
      <c r="AW49" t="s">
        <v>16</v>
      </c>
      <c r="AX49">
        <v>17</v>
      </c>
      <c r="AY49">
        <v>0.45135583992891398</v>
      </c>
      <c r="BI49" t="s">
        <v>16</v>
      </c>
      <c r="BJ49">
        <v>17</v>
      </c>
      <c r="BK49">
        <v>0.46949907797243401</v>
      </c>
      <c r="BL49">
        <v>1</v>
      </c>
      <c r="BM49">
        <v>0.17311064529102299</v>
      </c>
      <c r="BN49">
        <v>0.46949907797243401</v>
      </c>
      <c r="BO49">
        <v>0.56949907797243404</v>
      </c>
      <c r="BP49">
        <v>0.50412120703063801</v>
      </c>
      <c r="BW49" t="s">
        <v>16</v>
      </c>
      <c r="BX49">
        <v>17</v>
      </c>
      <c r="BY49" t="s">
        <v>35</v>
      </c>
      <c r="CI49" t="s">
        <v>16</v>
      </c>
      <c r="CJ49">
        <v>17</v>
      </c>
      <c r="CK49">
        <v>0.98521992000000003</v>
      </c>
      <c r="CL49" s="11">
        <v>6.9050200000000006E-2</v>
      </c>
      <c r="CU49" t="s">
        <v>16</v>
      </c>
      <c r="CV49">
        <v>17</v>
      </c>
      <c r="CW49" s="11">
        <v>6.5679907066020907E-2</v>
      </c>
      <c r="CX49" s="11"/>
    </row>
    <row r="50" spans="1:102" x14ac:dyDescent="0.25">
      <c r="A50" t="s">
        <v>17</v>
      </c>
      <c r="B50">
        <v>18</v>
      </c>
      <c r="C50">
        <v>2.1401265694797498E-3</v>
      </c>
      <c r="M50" t="s">
        <v>17</v>
      </c>
      <c r="N50">
        <v>18</v>
      </c>
      <c r="O50">
        <v>1</v>
      </c>
      <c r="Y50" t="s">
        <v>17</v>
      </c>
      <c r="Z50">
        <v>18</v>
      </c>
      <c r="AA50">
        <v>0</v>
      </c>
      <c r="AB50">
        <v>0.80502004336037103</v>
      </c>
      <c r="AC50">
        <v>1</v>
      </c>
      <c r="AK50" t="s">
        <v>17</v>
      </c>
      <c r="AL50">
        <v>18</v>
      </c>
      <c r="AM50" t="s">
        <v>34</v>
      </c>
      <c r="AW50" t="s">
        <v>17</v>
      </c>
      <c r="AX50">
        <v>18</v>
      </c>
      <c r="AY50">
        <v>0</v>
      </c>
      <c r="BI50" t="s">
        <v>17</v>
      </c>
      <c r="BJ50">
        <v>18</v>
      </c>
      <c r="BK50">
        <v>0.51114327604916598</v>
      </c>
      <c r="BL50">
        <v>0.67937469217648705</v>
      </c>
      <c r="BM50">
        <v>0.17619955842436399</v>
      </c>
      <c r="BN50">
        <v>0.51114327604916598</v>
      </c>
      <c r="BO50">
        <v>0.54701821448446297</v>
      </c>
      <c r="BP50">
        <v>0.482258126169336</v>
      </c>
      <c r="BW50" t="s">
        <v>17</v>
      </c>
      <c r="BX50">
        <v>18</v>
      </c>
      <c r="BY50" t="s">
        <v>89</v>
      </c>
      <c r="CI50" t="s">
        <v>17</v>
      </c>
      <c r="CJ50">
        <v>18</v>
      </c>
      <c r="CK50">
        <v>0.43340778000000002</v>
      </c>
      <c r="CL50" s="11">
        <v>0.25331931000000002</v>
      </c>
      <c r="CU50" t="s">
        <v>17</v>
      </c>
      <c r="CV50">
        <v>18</v>
      </c>
      <c r="CW50" s="11">
        <v>0.17470011204973901</v>
      </c>
      <c r="CX50" s="11"/>
    </row>
    <row r="51" spans="1:102" x14ac:dyDescent="0.25">
      <c r="A51" t="s">
        <v>18</v>
      </c>
      <c r="B51">
        <v>19</v>
      </c>
      <c r="C51">
        <v>0.37166843346534201</v>
      </c>
      <c r="M51" t="s">
        <v>18</v>
      </c>
      <c r="N51">
        <v>19</v>
      </c>
      <c r="O51">
        <v>0.249525822645707</v>
      </c>
      <c r="Y51" t="s">
        <v>18</v>
      </c>
      <c r="Z51">
        <v>19</v>
      </c>
      <c r="AA51">
        <v>0.34378680064676098</v>
      </c>
      <c r="AB51">
        <v>0.64401180746632103</v>
      </c>
      <c r="AC51">
        <v>0</v>
      </c>
      <c r="AK51" t="s">
        <v>18</v>
      </c>
      <c r="AL51">
        <v>19</v>
      </c>
      <c r="AM51" t="s">
        <v>41</v>
      </c>
      <c r="AW51" t="s">
        <v>18</v>
      </c>
      <c r="AX51">
        <v>19</v>
      </c>
      <c r="AY51">
        <v>0</v>
      </c>
      <c r="BI51" t="s">
        <v>18</v>
      </c>
      <c r="BJ51">
        <v>19</v>
      </c>
      <c r="BK51">
        <v>0.30663855232489801</v>
      </c>
      <c r="BL51">
        <v>0.589091367411266</v>
      </c>
      <c r="BM51">
        <v>1</v>
      </c>
      <c r="BN51">
        <v>0.30663855232489801</v>
      </c>
      <c r="BO51">
        <v>0.32445682580715202</v>
      </c>
      <c r="BP51">
        <v>0.42445682580715199</v>
      </c>
      <c r="BW51" t="s">
        <v>18</v>
      </c>
      <c r="BX51">
        <v>19</v>
      </c>
      <c r="BY51" t="s">
        <v>90</v>
      </c>
      <c r="CI51" t="s">
        <v>18</v>
      </c>
      <c r="CJ51">
        <v>19</v>
      </c>
      <c r="CK51">
        <v>0.56122326</v>
      </c>
      <c r="CL51" s="11">
        <v>0.91811350999999997</v>
      </c>
      <c r="CU51" t="s">
        <v>18</v>
      </c>
      <c r="CV51">
        <v>19</v>
      </c>
      <c r="CW51" s="11">
        <v>0.50852101612879896</v>
      </c>
      <c r="CX51" s="11"/>
    </row>
    <row r="52" spans="1:102" x14ac:dyDescent="0.25">
      <c r="A52" t="s">
        <v>19</v>
      </c>
      <c r="B52">
        <v>20</v>
      </c>
      <c r="C52">
        <v>0.16946907320228299</v>
      </c>
      <c r="M52" t="s">
        <v>19</v>
      </c>
      <c r="N52">
        <v>20</v>
      </c>
      <c r="O52">
        <v>0.35093652141041798</v>
      </c>
      <c r="Y52" t="s">
        <v>19</v>
      </c>
      <c r="Z52">
        <v>20</v>
      </c>
      <c r="AA52">
        <v>1</v>
      </c>
      <c r="AB52">
        <v>0.49353034105205401</v>
      </c>
      <c r="AC52">
        <v>1</v>
      </c>
      <c r="AK52" t="s">
        <v>19</v>
      </c>
      <c r="AL52">
        <v>20</v>
      </c>
      <c r="AM52" t="s">
        <v>42</v>
      </c>
      <c r="AW52" t="s">
        <v>19</v>
      </c>
      <c r="AX52">
        <v>20</v>
      </c>
      <c r="AY52">
        <v>1</v>
      </c>
      <c r="BI52" t="s">
        <v>19</v>
      </c>
      <c r="BJ52">
        <v>20</v>
      </c>
      <c r="BK52">
        <v>0.70401656549717595</v>
      </c>
      <c r="BL52">
        <v>0</v>
      </c>
      <c r="BM52">
        <v>0</v>
      </c>
      <c r="BN52">
        <v>0.70401656549717595</v>
      </c>
      <c r="BO52">
        <v>0.60401656549717597</v>
      </c>
      <c r="BP52">
        <v>0.50401656549717599</v>
      </c>
      <c r="BW52" t="s">
        <v>19</v>
      </c>
      <c r="BX52">
        <v>20</v>
      </c>
      <c r="BY52" t="s">
        <v>91</v>
      </c>
      <c r="CI52" t="s">
        <v>19</v>
      </c>
      <c r="CJ52">
        <v>20</v>
      </c>
      <c r="CK52">
        <v>0.72634069000000001</v>
      </c>
      <c r="CL52" s="11">
        <v>0.57604443000000005</v>
      </c>
      <c r="CU52" t="s">
        <v>19</v>
      </c>
      <c r="CV52">
        <v>20</v>
      </c>
      <c r="CW52" s="11">
        <v>0.21394113718953101</v>
      </c>
      <c r="CX52" s="11"/>
    </row>
    <row r="53" spans="1:102" x14ac:dyDescent="0.25">
      <c r="A53" t="s">
        <v>20</v>
      </c>
      <c r="B53">
        <v>21</v>
      </c>
      <c r="C53">
        <v>0</v>
      </c>
      <c r="M53" t="s">
        <v>20</v>
      </c>
      <c r="N53">
        <v>21</v>
      </c>
      <c r="O53">
        <v>1</v>
      </c>
      <c r="Y53" t="s">
        <v>20</v>
      </c>
      <c r="Z53">
        <v>21</v>
      </c>
      <c r="AA53">
        <v>1</v>
      </c>
      <c r="AB53">
        <v>0.67642988188158204</v>
      </c>
      <c r="AC53">
        <v>0.48637135820387001</v>
      </c>
      <c r="AK53" t="s">
        <v>20</v>
      </c>
      <c r="AL53">
        <v>21</v>
      </c>
      <c r="AM53" t="s">
        <v>43</v>
      </c>
      <c r="AW53" t="s">
        <v>20</v>
      </c>
      <c r="AX53">
        <v>21</v>
      </c>
      <c r="AY53">
        <v>1</v>
      </c>
      <c r="BI53" t="s">
        <v>20</v>
      </c>
      <c r="BJ53">
        <v>21</v>
      </c>
      <c r="BK53">
        <v>0.34719607743012598</v>
      </c>
      <c r="BL53">
        <v>0</v>
      </c>
      <c r="BM53">
        <v>0.85749105466910802</v>
      </c>
      <c r="BN53">
        <v>0.34719607743012598</v>
      </c>
      <c r="BO53">
        <v>0.247196077430126</v>
      </c>
      <c r="BP53">
        <v>0.31869428836394698</v>
      </c>
      <c r="BW53" t="s">
        <v>20</v>
      </c>
      <c r="BX53">
        <v>21</v>
      </c>
      <c r="BY53" t="s">
        <v>35</v>
      </c>
      <c r="CI53" t="s">
        <v>20</v>
      </c>
      <c r="CJ53">
        <v>21</v>
      </c>
      <c r="CK53">
        <v>0.92028133000000001</v>
      </c>
      <c r="CL53" s="11">
        <v>0.15545563000000001</v>
      </c>
      <c r="CU53" t="s">
        <v>20</v>
      </c>
      <c r="CV53">
        <v>21</v>
      </c>
      <c r="CW53" s="11">
        <v>0.73894155683004903</v>
      </c>
      <c r="CX53" s="11"/>
    </row>
    <row r="54" spans="1:102" x14ac:dyDescent="0.25">
      <c r="AK54" t="s">
        <v>55</v>
      </c>
      <c r="AL54">
        <v>22</v>
      </c>
      <c r="AM54" t="s">
        <v>44</v>
      </c>
      <c r="BW54" t="s">
        <v>55</v>
      </c>
      <c r="BX54">
        <v>22</v>
      </c>
      <c r="BY54" t="s">
        <v>92</v>
      </c>
      <c r="CK54" t="s">
        <v>112</v>
      </c>
      <c r="CL54" t="s">
        <v>113</v>
      </c>
      <c r="CO54" t="str">
        <f>IF(Table36351112[[#This Row],[Max fitness]]&gt;0.1,"y","")</f>
        <v/>
      </c>
    </row>
    <row r="55" spans="1:102" x14ac:dyDescent="0.25">
      <c r="AK55" t="s">
        <v>54</v>
      </c>
      <c r="AL55">
        <v>23</v>
      </c>
      <c r="AM55" t="s">
        <v>35</v>
      </c>
      <c r="BW55" t="s">
        <v>54</v>
      </c>
      <c r="BX55">
        <v>23</v>
      </c>
      <c r="BY55" t="s">
        <v>93</v>
      </c>
      <c r="CO55" t="str">
        <f>IF(Table36351112[[#This Row],[Max fitness]]&gt;0.1,"y","")</f>
        <v/>
      </c>
    </row>
    <row r="56" spans="1:102" x14ac:dyDescent="0.25">
      <c r="AK56" t="s">
        <v>53</v>
      </c>
      <c r="AL56">
        <v>24</v>
      </c>
      <c r="AM56" t="s">
        <v>45</v>
      </c>
      <c r="BW56" t="s">
        <v>53</v>
      </c>
      <c r="BX56">
        <v>24</v>
      </c>
      <c r="BY56" t="s">
        <v>94</v>
      </c>
      <c r="CO56" t="str">
        <f>IF(Table36351112[[#This Row],[Max fitness]]&gt;0.1,"y","")</f>
        <v/>
      </c>
    </row>
    <row r="57" spans="1:102" x14ac:dyDescent="0.25">
      <c r="AK57" t="s">
        <v>52</v>
      </c>
      <c r="AL57">
        <v>25</v>
      </c>
      <c r="AM57" t="s">
        <v>46</v>
      </c>
      <c r="AN57" s="1"/>
      <c r="AO57" s="1"/>
      <c r="AP57" s="1"/>
      <c r="AQ57" s="1"/>
      <c r="AR57" s="1"/>
      <c r="AS57" s="1"/>
      <c r="AT57" s="1"/>
      <c r="AU57" s="1"/>
      <c r="BW57" t="s">
        <v>52</v>
      </c>
      <c r="BX57">
        <v>25</v>
      </c>
      <c r="BY57" t="s">
        <v>95</v>
      </c>
    </row>
    <row r="58" spans="1:102" x14ac:dyDescent="0.25">
      <c r="AK58" t="s">
        <v>58</v>
      </c>
      <c r="AL58">
        <v>26</v>
      </c>
      <c r="AM58" t="s">
        <v>47</v>
      </c>
      <c r="AN58" s="1"/>
      <c r="AO58" s="1"/>
      <c r="AP58" s="1"/>
      <c r="AQ58" s="1"/>
      <c r="AR58" s="1"/>
      <c r="AS58" s="1"/>
      <c r="AT58" s="1"/>
      <c r="AU58" s="1"/>
      <c r="BW58" t="s">
        <v>58</v>
      </c>
      <c r="BX58">
        <v>26</v>
      </c>
      <c r="BY58" t="s">
        <v>96</v>
      </c>
    </row>
    <row r="59" spans="1:102" x14ac:dyDescent="0.25">
      <c r="AK59" t="s">
        <v>51</v>
      </c>
      <c r="AL59">
        <v>27</v>
      </c>
      <c r="AM59" t="s">
        <v>48</v>
      </c>
      <c r="BW59" t="s">
        <v>51</v>
      </c>
      <c r="BX59">
        <v>27</v>
      </c>
      <c r="BY59" t="s">
        <v>97</v>
      </c>
    </row>
    <row r="60" spans="1:102" x14ac:dyDescent="0.25">
      <c r="AK60" t="s">
        <v>50</v>
      </c>
      <c r="AL60">
        <v>28</v>
      </c>
      <c r="AM60" t="s">
        <v>34</v>
      </c>
      <c r="BW60" t="s">
        <v>50</v>
      </c>
      <c r="BX60">
        <v>28</v>
      </c>
      <c r="BY60" t="s">
        <v>98</v>
      </c>
    </row>
    <row r="63" spans="1:102" x14ac:dyDescent="0.25">
      <c r="Z63" t="s">
        <v>122</v>
      </c>
    </row>
    <row r="64" spans="1:102" x14ac:dyDescent="0.25">
      <c r="Z64" t="str" cm="1">
        <f t="array" ref="Z64:AT64">_xlfn.TEXTSPLIT(Z63,", ")</f>
        <v>0.4091753041621535</v>
      </c>
      <c r="AA64" t="str">
        <v>0.526987531425831</v>
      </c>
      <c r="AB64" t="str">
        <v>0.07765675894938162</v>
      </c>
      <c r="AC64" t="str">
        <v>0.004964104866896055</v>
      </c>
      <c r="AD64" t="str">
        <v>0.6199393341507159</v>
      </c>
      <c r="AE64" t="str">
        <v>0.7247614063773686</v>
      </c>
      <c r="AF64" t="str">
        <v>0.45860226419395134</v>
      </c>
      <c r="AG64" t="str">
        <v>0.15632117815261173</v>
      </c>
      <c r="AH64" t="str">
        <v>0.40243406150630634</v>
      </c>
      <c r="AI64" t="str">
        <v>0.963374090223104</v>
      </c>
      <c r="AJ64" t="str">
        <v>0.3005745081849112</v>
      </c>
      <c r="AK64" t="str">
        <v>0.4181724138063309</v>
      </c>
      <c r="AL64" t="str">
        <v>0.217602282503368</v>
      </c>
      <c r="AM64" t="str">
        <v>0.05208753079827609</v>
      </c>
      <c r="AN64" t="str">
        <v>0.18864788546957187</v>
      </c>
      <c r="AO64" t="str">
        <v>0.3360597767270444</v>
      </c>
      <c r="AP64" t="str">
        <v>0.06567990706602098</v>
      </c>
      <c r="AQ64" t="str">
        <v>0.1747001120497397</v>
      </c>
      <c r="AR64" t="str">
        <v>0.5085210161287994</v>
      </c>
      <c r="AS64" t="str">
        <v>0.21394113718953117</v>
      </c>
      <c r="AT64" t="str">
        <v>0.7389415568300491</v>
      </c>
    </row>
    <row r="65" spans="24:60" x14ac:dyDescent="0.25">
      <c r="X65" s="10">
        <v>0.33831719711374802</v>
      </c>
      <c r="Y65">
        <v>1</v>
      </c>
      <c r="Z65" s="3" t="str" cm="1">
        <f t="array" ref="Z65:Z85">TRANSPOSE(_xlfn.ANCHORARRAY(Z64))</f>
        <v>0.4091753041621535</v>
      </c>
    </row>
    <row r="66" spans="24:60" x14ac:dyDescent="0.25">
      <c r="X66" s="9">
        <v>0.93466713178917704</v>
      </c>
      <c r="Y66">
        <v>2</v>
      </c>
      <c r="Z66" s="2" t="str">
        <v>0.526987531425831</v>
      </c>
      <c r="AZ66" s="3">
        <v>0.33831719711374802</v>
      </c>
      <c r="BA66" s="3">
        <v>0.96225603534558202</v>
      </c>
      <c r="BB66">
        <f>AZ66-BA66</f>
        <v>-0.62393883823183405</v>
      </c>
      <c r="BC66" cm="1">
        <f t="array" ref="BC66:BC86">ABS(BB66:BB86)</f>
        <v>0.62393883823183405</v>
      </c>
      <c r="BD66">
        <f>SUM(_xlfn.ANCHORARRAY(BC66))</f>
        <v>7.9290406405481404</v>
      </c>
      <c r="BH66" t="str">
        <f>_xlfn.TEXTJOIN("#",TRUE,BF67:BF87)</f>
        <v>0.409175#0.526988#0.077657#0.004964#0.619939#0.724761#0.458602#0.156321#0.402434#0.963374#0.300575#0.418172#0.217602#0.052088#0.188648#0.33606#0.06568#0.1747#0.508521#0.213941#0.738942</v>
      </c>
    </row>
    <row r="67" spans="24:60" x14ac:dyDescent="0.25">
      <c r="X67" s="10">
        <v>9.3176192652155904E-2</v>
      </c>
      <c r="Y67">
        <v>3</v>
      </c>
      <c r="Z67" s="3" t="str">
        <v>0.07765675894938162</v>
      </c>
      <c r="AZ67" s="2">
        <v>0.93466713178917704</v>
      </c>
      <c r="BA67" s="2" t="s">
        <v>34</v>
      </c>
      <c r="BB67">
        <f t="shared" ref="BB67:BB86" si="1">AZ67-BA67</f>
        <v>-6.5332868210822959E-2</v>
      </c>
      <c r="BC67">
        <v>6.5332868210822959E-2</v>
      </c>
      <c r="BF67" s="12">
        <v>0.40917500000000001</v>
      </c>
      <c r="BH67" t="str">
        <f>_xlfn.REGEXREPLACE(BH66," ","")</f>
        <v>0.409175#0.526988#0.077657#0.004964#0.619939#0.724761#0.458602#0.156321#0.402434#0.963374#0.300575#0.418172#0.217602#0.052088#0.188648#0.33606#0.06568#0.1747#0.508521#0.213941#0.738942</v>
      </c>
    </row>
    <row r="68" spans="24:60" x14ac:dyDescent="0.25">
      <c r="X68" s="9">
        <v>0</v>
      </c>
      <c r="Y68">
        <v>4</v>
      </c>
      <c r="Z68" s="2" t="str">
        <v>0.004964104866896055</v>
      </c>
      <c r="AB68" t="str">
        <f>_xlfn.TEXTJOIN("#",FALSE,X65:X85)</f>
        <v>0.338317197113748#0.934667131789177#0.0931761926521559#0#0.751099024630008#1#0.961847886337875#0#1#0.552937948005278#0.59671345821399#0#1#0#0#1#0#0.00214012656947975#0.371668433465342#0.169469073202283#0</v>
      </c>
      <c r="AZ68" s="3">
        <v>9.3176192652155904E-2</v>
      </c>
      <c r="BA68" s="3" t="s">
        <v>35</v>
      </c>
      <c r="BB68">
        <f t="shared" si="1"/>
        <v>9.3176192652155904E-2</v>
      </c>
      <c r="BC68">
        <v>9.3176192652155904E-2</v>
      </c>
      <c r="BF68" s="13">
        <v>0.52698800000000001</v>
      </c>
      <c r="BH68" t="s">
        <v>123</v>
      </c>
    </row>
    <row r="69" spans="24:60" x14ac:dyDescent="0.25">
      <c r="X69" s="10">
        <v>0.75109902463000799</v>
      </c>
      <c r="Y69">
        <v>5</v>
      </c>
      <c r="Z69" s="3" t="str">
        <v>0.6199393341507159</v>
      </c>
      <c r="AZ69" s="2">
        <v>0</v>
      </c>
      <c r="BA69" s="2" t="s">
        <v>35</v>
      </c>
      <c r="BB69">
        <f t="shared" si="1"/>
        <v>0</v>
      </c>
      <c r="BC69">
        <v>0</v>
      </c>
      <c r="BF69" s="12">
        <v>7.7657000000000004E-2</v>
      </c>
      <c r="BH69" t="s">
        <v>102</v>
      </c>
    </row>
    <row r="70" spans="24:60" x14ac:dyDescent="0.25">
      <c r="X70" s="9">
        <v>1</v>
      </c>
      <c r="Y70">
        <v>6</v>
      </c>
      <c r="Z70" s="2" t="str">
        <v>0.7247614063773686</v>
      </c>
      <c r="AB70" t="s">
        <v>115</v>
      </c>
      <c r="AZ70" s="3">
        <v>0.75109902463000799</v>
      </c>
      <c r="BA70" s="3" t="s">
        <v>34</v>
      </c>
      <c r="BB70">
        <f t="shared" si="1"/>
        <v>-0.24890097536999201</v>
      </c>
      <c r="BC70">
        <v>0.24890097536999201</v>
      </c>
      <c r="BF70" s="13">
        <v>4.9639999999999997E-3</v>
      </c>
      <c r="BH70" t="s">
        <v>103</v>
      </c>
    </row>
    <row r="71" spans="24:60" x14ac:dyDescent="0.25">
      <c r="X71" s="10">
        <v>0.96184788633787499</v>
      </c>
      <c r="Y71">
        <v>7</v>
      </c>
      <c r="Z71" s="3" t="str">
        <v>0.45860226419395134</v>
      </c>
      <c r="AB71" t="s">
        <v>114</v>
      </c>
      <c r="AZ71" s="2">
        <v>1</v>
      </c>
      <c r="BA71" s="2" t="s">
        <v>34</v>
      </c>
      <c r="BB71">
        <f t="shared" si="1"/>
        <v>0</v>
      </c>
      <c r="BC71">
        <v>0</v>
      </c>
      <c r="BF71" s="12">
        <v>0.61993900000000002</v>
      </c>
    </row>
    <row r="72" spans="24:60" x14ac:dyDescent="0.25">
      <c r="X72" s="9">
        <v>0</v>
      </c>
      <c r="Y72">
        <v>8</v>
      </c>
      <c r="Z72" s="2" t="str">
        <v>0.15632117815261173</v>
      </c>
      <c r="AB72" t="s">
        <v>110</v>
      </c>
      <c r="AZ72" s="3">
        <v>0.96184788633787499</v>
      </c>
      <c r="BA72" s="3" t="s">
        <v>34</v>
      </c>
      <c r="BB72">
        <f t="shared" si="1"/>
        <v>-3.8152113662125009E-2</v>
      </c>
      <c r="BC72">
        <v>3.8152113662125009E-2</v>
      </c>
      <c r="BF72" s="13">
        <v>0.72476099999999999</v>
      </c>
    </row>
    <row r="73" spans="24:60" x14ac:dyDescent="0.25">
      <c r="X73" s="10">
        <v>1</v>
      </c>
      <c r="Y73">
        <v>9</v>
      </c>
      <c r="Z73" s="3" t="str">
        <v>0.40243406150630634</v>
      </c>
      <c r="AZ73" s="2">
        <v>0</v>
      </c>
      <c r="BA73" s="2" t="s">
        <v>35</v>
      </c>
      <c r="BB73">
        <f t="shared" si="1"/>
        <v>0</v>
      </c>
      <c r="BC73">
        <v>0</v>
      </c>
      <c r="BF73" s="12">
        <v>0.45860200000000001</v>
      </c>
      <c r="BH73" t="s">
        <v>104</v>
      </c>
    </row>
    <row r="74" spans="24:60" x14ac:dyDescent="0.25">
      <c r="X74" s="9">
        <v>0.55293794800527796</v>
      </c>
      <c r="Y74">
        <v>10</v>
      </c>
      <c r="Z74" s="2" t="str">
        <v>0.963374090223104</v>
      </c>
      <c r="AZ74" s="3">
        <v>1</v>
      </c>
      <c r="BA74" s="3" t="s">
        <v>36</v>
      </c>
      <c r="BB74">
        <f t="shared" si="1"/>
        <v>0.13852660842636</v>
      </c>
      <c r="BC74">
        <v>0.13852660842636</v>
      </c>
      <c r="BF74" s="13">
        <v>0.15632099999999999</v>
      </c>
    </row>
    <row r="75" spans="24:60" x14ac:dyDescent="0.25">
      <c r="X75" s="10">
        <v>0.59671345821399002</v>
      </c>
      <c r="Y75">
        <v>11</v>
      </c>
      <c r="Z75" s="3" t="str">
        <v>0.3005745081849112</v>
      </c>
      <c r="AZ75" s="2">
        <v>0.55293794800527796</v>
      </c>
      <c r="BA75" s="2" t="s">
        <v>34</v>
      </c>
      <c r="BB75">
        <f t="shared" si="1"/>
        <v>-0.44706205199472204</v>
      </c>
      <c r="BC75">
        <v>0.44706205199472204</v>
      </c>
      <c r="BF75" s="12">
        <v>0.40243400000000001</v>
      </c>
    </row>
    <row r="76" spans="24:60" x14ac:dyDescent="0.25">
      <c r="X76" s="9">
        <v>0</v>
      </c>
      <c r="Y76">
        <v>12</v>
      </c>
      <c r="Z76" s="2" t="str">
        <v>0.4181724138063309</v>
      </c>
      <c r="AZ76" s="3">
        <v>0.59671345821399002</v>
      </c>
      <c r="BA76" s="3" t="s">
        <v>37</v>
      </c>
      <c r="BB76">
        <f t="shared" si="1"/>
        <v>5.3686848516020014E-2</v>
      </c>
      <c r="BC76">
        <v>5.3686848516020014E-2</v>
      </c>
      <c r="BF76" s="13">
        <v>0.96337399999999995</v>
      </c>
    </row>
    <row r="77" spans="24:60" x14ac:dyDescent="0.25">
      <c r="X77" s="10">
        <v>1</v>
      </c>
      <c r="Y77">
        <v>13</v>
      </c>
      <c r="Z77" s="3" t="str">
        <v>0.217602282503368</v>
      </c>
      <c r="AZ77" s="2">
        <v>0</v>
      </c>
      <c r="BA77" s="2" t="s">
        <v>34</v>
      </c>
      <c r="BB77">
        <f t="shared" si="1"/>
        <v>-1</v>
      </c>
      <c r="BC77">
        <v>1</v>
      </c>
      <c r="BF77" s="12">
        <v>0.30057499999999998</v>
      </c>
    </row>
    <row r="78" spans="24:60" x14ac:dyDescent="0.25">
      <c r="X78" s="9">
        <v>0</v>
      </c>
      <c r="Y78">
        <v>14</v>
      </c>
      <c r="Z78" s="2" t="str">
        <v>0.05208753079827609</v>
      </c>
      <c r="AZ78" s="3">
        <v>1</v>
      </c>
      <c r="BA78" s="3" t="s">
        <v>35</v>
      </c>
      <c r="BB78">
        <f t="shared" si="1"/>
        <v>1</v>
      </c>
      <c r="BC78">
        <v>1</v>
      </c>
      <c r="BF78" s="13">
        <v>0.41817199999999999</v>
      </c>
    </row>
    <row r="79" spans="24:60" x14ac:dyDescent="0.25">
      <c r="X79" s="10">
        <v>0</v>
      </c>
      <c r="Y79">
        <v>15</v>
      </c>
      <c r="Z79" s="3" t="str">
        <v>0.18864788546957187</v>
      </c>
      <c r="AZ79" s="2">
        <v>0</v>
      </c>
      <c r="BA79" s="2" t="s">
        <v>38</v>
      </c>
      <c r="BB79">
        <f t="shared" si="1"/>
        <v>-0.17621606443353</v>
      </c>
      <c r="BC79">
        <v>0.17621606443353</v>
      </c>
      <c r="BF79" s="12">
        <v>0.21760199999999999</v>
      </c>
    </row>
    <row r="80" spans="24:60" x14ac:dyDescent="0.25">
      <c r="X80" s="9">
        <v>1</v>
      </c>
      <c r="Y80">
        <v>16</v>
      </c>
      <c r="Z80" s="2" t="str">
        <v>0.3360597767270444</v>
      </c>
      <c r="AZ80" s="3">
        <v>0</v>
      </c>
      <c r="BA80" s="3" t="s">
        <v>34</v>
      </c>
      <c r="BB80">
        <f t="shared" si="1"/>
        <v>-1</v>
      </c>
      <c r="BC80">
        <v>1</v>
      </c>
      <c r="BF80" s="13">
        <v>5.2088000000000002E-2</v>
      </c>
    </row>
    <row r="81" spans="24:58" x14ac:dyDescent="0.25">
      <c r="X81" s="10">
        <v>0</v>
      </c>
      <c r="Y81">
        <v>17</v>
      </c>
      <c r="Z81" s="3" t="str">
        <v>0.06567990706602098</v>
      </c>
      <c r="AZ81" s="2">
        <v>1</v>
      </c>
      <c r="BA81" s="2" t="s">
        <v>39</v>
      </c>
      <c r="BB81">
        <f t="shared" si="1"/>
        <v>0.58957907790050801</v>
      </c>
      <c r="BC81">
        <v>0.58957907790050801</v>
      </c>
      <c r="BF81" s="12">
        <v>0.18864800000000001</v>
      </c>
    </row>
    <row r="82" spans="24:58" x14ac:dyDescent="0.25">
      <c r="X82" s="9">
        <v>2.1401265694797498E-3</v>
      </c>
      <c r="Y82">
        <v>18</v>
      </c>
      <c r="Z82" s="2" t="str">
        <v>0.1747001120497397</v>
      </c>
      <c r="AZ82" s="3">
        <v>0</v>
      </c>
      <c r="BA82" s="3" t="s">
        <v>40</v>
      </c>
      <c r="BB82">
        <f t="shared" si="1"/>
        <v>-0.93748321022143899</v>
      </c>
      <c r="BC82">
        <v>0.93748321022143899</v>
      </c>
      <c r="BF82" s="13">
        <v>0.33606000000000003</v>
      </c>
    </row>
    <row r="83" spans="24:58" x14ac:dyDescent="0.25">
      <c r="X83" s="10">
        <v>0.37166843346534201</v>
      </c>
      <c r="Y83">
        <v>19</v>
      </c>
      <c r="Z83" s="3" t="str">
        <v>0.5085210161287994</v>
      </c>
      <c r="AZ83" s="2">
        <v>2.1401265694797498E-3</v>
      </c>
      <c r="BA83" s="2" t="s">
        <v>34</v>
      </c>
      <c r="BB83">
        <f t="shared" si="1"/>
        <v>-0.99785987343052029</v>
      </c>
      <c r="BC83">
        <v>0.99785987343052029</v>
      </c>
      <c r="BF83" s="12">
        <v>6.5680000000000002E-2</v>
      </c>
    </row>
    <row r="84" spans="24:58" x14ac:dyDescent="0.25">
      <c r="X84" s="9">
        <v>0.16946907320228299</v>
      </c>
      <c r="Y84">
        <v>20</v>
      </c>
      <c r="Z84" s="2" t="str">
        <v>0.21394113718953117</v>
      </c>
      <c r="AZ84" s="3">
        <v>0.37166843346534201</v>
      </c>
      <c r="BA84" s="3" t="s">
        <v>41</v>
      </c>
      <c r="BB84">
        <f t="shared" si="1"/>
        <v>7.8902838744676018E-2</v>
      </c>
      <c r="BC84">
        <v>7.8902838744676018E-2</v>
      </c>
      <c r="BF84" s="13">
        <v>0.17469999999999999</v>
      </c>
    </row>
    <row r="85" spans="24:58" x14ac:dyDescent="0.25">
      <c r="X85" s="10">
        <v>0</v>
      </c>
      <c r="Y85">
        <v>21</v>
      </c>
      <c r="Z85" s="3" t="str">
        <v>0.7389415568300491</v>
      </c>
      <c r="AZ85" s="2">
        <v>0.16946907320228299</v>
      </c>
      <c r="BA85" s="2" t="s">
        <v>42</v>
      </c>
      <c r="BB85">
        <f t="shared" si="1"/>
        <v>0.15121010424644088</v>
      </c>
      <c r="BC85">
        <v>0.15121010424644088</v>
      </c>
      <c r="BF85" s="12">
        <v>0.508521</v>
      </c>
    </row>
    <row r="86" spans="24:58" x14ac:dyDescent="0.25">
      <c r="Y86">
        <v>22</v>
      </c>
      <c r="Z86" s="2"/>
      <c r="AZ86" s="3">
        <v>0</v>
      </c>
      <c r="BA86" s="3" t="s">
        <v>43</v>
      </c>
      <c r="BB86">
        <f t="shared" si="1"/>
        <v>-0.28901297450699598</v>
      </c>
      <c r="BC86">
        <v>0.28901297450699598</v>
      </c>
      <c r="BF86" s="13">
        <v>0.21394099999999999</v>
      </c>
    </row>
    <row r="87" spans="24:58" x14ac:dyDescent="0.25">
      <c r="Y87">
        <v>23</v>
      </c>
      <c r="Z87" s="3"/>
      <c r="BA87" t="s">
        <v>44</v>
      </c>
      <c r="BF87" s="12">
        <v>0.73894199999999999</v>
      </c>
    </row>
    <row r="88" spans="24:58" x14ac:dyDescent="0.25">
      <c r="Y88">
        <v>24</v>
      </c>
      <c r="Z88" s="2"/>
      <c r="AI88" t="s">
        <v>56</v>
      </c>
      <c r="BA88" t="s">
        <v>35</v>
      </c>
    </row>
    <row r="89" spans="24:58" x14ac:dyDescent="0.25">
      <c r="Y89">
        <v>25</v>
      </c>
      <c r="Z89" s="3"/>
      <c r="AH89" t="s">
        <v>56</v>
      </c>
      <c r="AI89" s="4" t="s">
        <v>57</v>
      </c>
      <c r="AK89" s="4" t="s">
        <v>57</v>
      </c>
      <c r="BA89" t="s">
        <v>45</v>
      </c>
    </row>
    <row r="90" spans="24:58" x14ac:dyDescent="0.25">
      <c r="Y90">
        <v>26</v>
      </c>
      <c r="Z90" s="2"/>
      <c r="AH90">
        <v>1</v>
      </c>
      <c r="AI90">
        <v>2</v>
      </c>
      <c r="AJ90">
        <v>2</v>
      </c>
      <c r="AK90">
        <v>3</v>
      </c>
      <c r="AL90">
        <v>3</v>
      </c>
      <c r="BA90" t="s">
        <v>46</v>
      </c>
    </row>
    <row r="91" spans="24:58" x14ac:dyDescent="0.25">
      <c r="Y91">
        <v>27</v>
      </c>
      <c r="Z91" s="3"/>
      <c r="AG91">
        <v>1</v>
      </c>
      <c r="AH91" s="6">
        <v>0</v>
      </c>
      <c r="AI91" s="5">
        <f ca="1">RAND()*0.1-0.05</f>
        <v>1.1916031306460885E-2</v>
      </c>
      <c r="AJ91" s="5">
        <f ca="1">MIN(MAX(AH91+AI91,0),1)</f>
        <v>1.1916031306460885E-2</v>
      </c>
      <c r="AK91" s="5">
        <f t="shared" ref="AK91:AK111" ca="1" si="2">RAND()*0.1-0.05</f>
        <v>2.0428177172587353E-2</v>
      </c>
      <c r="AL91" s="5">
        <f ca="1">MIN(MAX(AJ91+AK91,0),1)</f>
        <v>3.2344208479048238E-2</v>
      </c>
      <c r="BA91" t="s">
        <v>47</v>
      </c>
    </row>
    <row r="92" spans="24:58" x14ac:dyDescent="0.25">
      <c r="Y92">
        <v>28</v>
      </c>
      <c r="Z92" s="2"/>
      <c r="AG92">
        <v>2</v>
      </c>
      <c r="AH92" s="7">
        <v>0.838073450710207</v>
      </c>
      <c r="AI92" s="5">
        <f t="shared" ref="AI92:AI111" ca="1" si="3">RAND()*0.1-0.05</f>
        <v>4.6706814426305185E-2</v>
      </c>
      <c r="AJ92" s="5">
        <f t="shared" ref="AJ92:AJ111" ca="1" si="4">MIN(MAX(AH92+AI92,0),1)</f>
        <v>0.8847802651365122</v>
      </c>
      <c r="AK92" s="5">
        <f t="shared" ca="1" si="2"/>
        <v>-1.4234668444242017E-2</v>
      </c>
      <c r="AL92" s="5">
        <f t="shared" ref="AL92:AL111" ca="1" si="5">MIN(MAX(AJ92+AK92,0),1)</f>
        <v>0.87054559669227016</v>
      </c>
      <c r="BA92" t="s">
        <v>48</v>
      </c>
    </row>
    <row r="93" spans="24:58" x14ac:dyDescent="0.25">
      <c r="Y93">
        <v>29</v>
      </c>
      <c r="AG93">
        <v>3</v>
      </c>
      <c r="AH93" s="6">
        <v>0.36941805210713202</v>
      </c>
      <c r="AI93" s="5">
        <f t="shared" ca="1" si="3"/>
        <v>3.2019769218140884E-2</v>
      </c>
      <c r="AJ93" s="5">
        <f t="shared" ca="1" si="4"/>
        <v>0.40143782132527289</v>
      </c>
      <c r="AK93" s="5">
        <f t="shared" ca="1" si="2"/>
        <v>-3.3866307009600166E-2</v>
      </c>
      <c r="AL93" s="5">
        <f t="shared" ca="1" si="5"/>
        <v>0.3675715143156727</v>
      </c>
      <c r="BA93" t="s">
        <v>34</v>
      </c>
    </row>
    <row r="94" spans="24:58" x14ac:dyDescent="0.25">
      <c r="Y94">
        <v>30</v>
      </c>
      <c r="AG94">
        <v>4</v>
      </c>
      <c r="AH94" s="7">
        <v>0.772175920311859</v>
      </c>
      <c r="AI94" s="5">
        <f t="shared" ca="1" si="3"/>
        <v>-4.2127407015037921E-2</v>
      </c>
      <c r="AJ94" s="5">
        <f t="shared" ca="1" si="4"/>
        <v>0.73004851329682108</v>
      </c>
      <c r="AK94" s="5">
        <f t="shared" ca="1" si="2"/>
        <v>9.8416288978085201E-3</v>
      </c>
      <c r="AL94" s="5">
        <f t="shared" ca="1" si="5"/>
        <v>0.73989014219462956</v>
      </c>
    </row>
    <row r="95" spans="24:58" x14ac:dyDescent="0.25">
      <c r="Y95">
        <v>31</v>
      </c>
      <c r="AG95">
        <v>5</v>
      </c>
      <c r="AH95" s="6">
        <v>0.61234593074099897</v>
      </c>
      <c r="AI95" s="5">
        <f t="shared" ca="1" si="3"/>
        <v>-3.0927995758098473E-2</v>
      </c>
      <c r="AJ95" s="5">
        <f t="shared" ca="1" si="4"/>
        <v>0.58141793498290051</v>
      </c>
      <c r="AK95" s="5">
        <f t="shared" ca="1" si="2"/>
        <v>8.8959608536855195E-4</v>
      </c>
      <c r="AL95" s="5">
        <f t="shared" ca="1" si="5"/>
        <v>0.58230753106826905</v>
      </c>
    </row>
    <row r="96" spans="24:58" x14ac:dyDescent="0.25">
      <c r="Y96">
        <v>32</v>
      </c>
      <c r="AG96">
        <v>6</v>
      </c>
      <c r="AH96" s="7">
        <v>0</v>
      </c>
      <c r="AI96" s="5">
        <f t="shared" ca="1" si="3"/>
        <v>2.9233313097612484E-2</v>
      </c>
      <c r="AJ96" s="5">
        <f t="shared" ca="1" si="4"/>
        <v>2.9233313097612484E-2</v>
      </c>
      <c r="AK96" s="5">
        <f t="shared" ca="1" si="2"/>
        <v>-3.852895702953002E-2</v>
      </c>
      <c r="AL96" s="5">
        <f t="shared" ca="1" si="5"/>
        <v>0</v>
      </c>
    </row>
    <row r="97" spans="25:38" x14ac:dyDescent="0.25">
      <c r="Y97">
        <v>33</v>
      </c>
      <c r="AG97">
        <v>7</v>
      </c>
      <c r="AH97" s="6">
        <v>1</v>
      </c>
      <c r="AI97" s="5">
        <f t="shared" ca="1" si="3"/>
        <v>3.810932319159295E-2</v>
      </c>
      <c r="AJ97" s="5">
        <f t="shared" ca="1" si="4"/>
        <v>1</v>
      </c>
      <c r="AK97" s="5">
        <f t="shared" ca="1" si="2"/>
        <v>-3.2086140754052028E-2</v>
      </c>
      <c r="AL97" s="5">
        <f t="shared" ca="1" si="5"/>
        <v>0.96791385924594797</v>
      </c>
    </row>
    <row r="98" spans="25:38" x14ac:dyDescent="0.25">
      <c r="Y98">
        <v>34</v>
      </c>
      <c r="AG98">
        <v>8</v>
      </c>
      <c r="AH98" s="7">
        <v>0.27929680791088402</v>
      </c>
      <c r="AI98" s="5">
        <f t="shared" ca="1" si="3"/>
        <v>-4.3221285094681067E-2</v>
      </c>
      <c r="AJ98" s="5">
        <f t="shared" ca="1" si="4"/>
        <v>0.23607552281620295</v>
      </c>
      <c r="AK98" s="5">
        <f t="shared" ca="1" si="2"/>
        <v>1.3866523899752098E-2</v>
      </c>
      <c r="AL98" s="5">
        <f t="shared" ca="1" si="5"/>
        <v>0.24994204671595505</v>
      </c>
    </row>
    <row r="99" spans="25:38" x14ac:dyDescent="0.25">
      <c r="Y99">
        <v>35</v>
      </c>
      <c r="AG99">
        <v>9</v>
      </c>
      <c r="AH99" s="6">
        <v>1</v>
      </c>
      <c r="AI99" s="5">
        <f t="shared" ca="1" si="3"/>
        <v>-3.4398954097546224E-2</v>
      </c>
      <c r="AJ99" s="5">
        <f t="shared" ca="1" si="4"/>
        <v>0.96560104590245377</v>
      </c>
      <c r="AK99" s="5">
        <f t="shared" ca="1" si="2"/>
        <v>2.1043001645684262E-2</v>
      </c>
      <c r="AL99" s="5">
        <f t="shared" ca="1" si="5"/>
        <v>0.98664404754813806</v>
      </c>
    </row>
    <row r="100" spans="25:38" x14ac:dyDescent="0.25">
      <c r="Y100">
        <v>36</v>
      </c>
      <c r="AG100">
        <v>10</v>
      </c>
      <c r="AH100" s="7">
        <v>3.9908815338230499E-2</v>
      </c>
      <c r="AI100" s="5">
        <f t="shared" ca="1" si="3"/>
        <v>1.7565624915193145E-4</v>
      </c>
      <c r="AJ100" s="5">
        <f t="shared" ca="1" si="4"/>
        <v>4.0084471587382431E-2</v>
      </c>
      <c r="AK100" s="5">
        <f t="shared" ca="1" si="2"/>
        <v>2.2598677687330065E-2</v>
      </c>
      <c r="AL100" s="5">
        <f t="shared" ca="1" si="5"/>
        <v>6.2683149274712496E-2</v>
      </c>
    </row>
    <row r="101" spans="25:38" x14ac:dyDescent="0.25">
      <c r="Y101">
        <v>37</v>
      </c>
      <c r="AG101">
        <v>11</v>
      </c>
      <c r="AH101" s="6">
        <v>0.93716941113188901</v>
      </c>
      <c r="AI101" s="5">
        <f t="shared" ca="1" si="3"/>
        <v>2.1515469868834985E-2</v>
      </c>
      <c r="AJ101" s="5">
        <f t="shared" ca="1" si="4"/>
        <v>0.95868488100072402</v>
      </c>
      <c r="AK101" s="5">
        <f t="shared" ca="1" si="2"/>
        <v>3.3634848093355499E-3</v>
      </c>
      <c r="AL101" s="5">
        <f t="shared" ca="1" si="5"/>
        <v>0.96204836581005959</v>
      </c>
    </row>
    <row r="102" spans="25:38" x14ac:dyDescent="0.25">
      <c r="Y102">
        <v>38</v>
      </c>
      <c r="AG102">
        <v>12</v>
      </c>
      <c r="AH102" s="7">
        <v>1</v>
      </c>
      <c r="AI102" s="5">
        <f t="shared" ca="1" si="3"/>
        <v>2.8170111367688738E-2</v>
      </c>
      <c r="AJ102" s="5">
        <f t="shared" ca="1" si="4"/>
        <v>1</v>
      </c>
      <c r="AK102" s="5">
        <f t="shared" ca="1" si="2"/>
        <v>2.1134994966465412E-2</v>
      </c>
      <c r="AL102" s="5">
        <f t="shared" ca="1" si="5"/>
        <v>1</v>
      </c>
    </row>
    <row r="103" spans="25:38" x14ac:dyDescent="0.25">
      <c r="Y103">
        <v>39</v>
      </c>
      <c r="AG103">
        <v>13</v>
      </c>
      <c r="AH103" s="6">
        <v>0.62226011233405598</v>
      </c>
      <c r="AI103" s="5">
        <f t="shared" ca="1" si="3"/>
        <v>1.8134462873401341E-2</v>
      </c>
      <c r="AJ103" s="5">
        <f t="shared" ca="1" si="4"/>
        <v>0.64039457520745735</v>
      </c>
      <c r="AK103" s="5">
        <f t="shared" ca="1" si="2"/>
        <v>4.0492971239076456E-2</v>
      </c>
      <c r="AL103" s="5">
        <f t="shared" ca="1" si="5"/>
        <v>0.68088754644653382</v>
      </c>
    </row>
    <row r="104" spans="25:38" x14ac:dyDescent="0.25">
      <c r="Y104">
        <v>40</v>
      </c>
      <c r="AG104">
        <v>14</v>
      </c>
      <c r="AH104" s="7">
        <v>0</v>
      </c>
      <c r="AI104" s="5">
        <f t="shared" ca="1" si="3"/>
        <v>4.0063381798908962E-2</v>
      </c>
      <c r="AJ104" s="5">
        <f t="shared" ca="1" si="4"/>
        <v>4.0063381798908962E-2</v>
      </c>
      <c r="AK104" s="5">
        <f t="shared" ca="1" si="2"/>
        <v>-2.3329342130141054E-2</v>
      </c>
      <c r="AL104" s="5">
        <f t="shared" ca="1" si="5"/>
        <v>1.6734039668767908E-2</v>
      </c>
    </row>
    <row r="105" spans="25:38" x14ac:dyDescent="0.25">
      <c r="Y105">
        <v>41</v>
      </c>
      <c r="AG105">
        <v>15</v>
      </c>
      <c r="AH105" s="6">
        <v>0.55344351954543602</v>
      </c>
      <c r="AI105" s="5">
        <f t="shared" ca="1" si="3"/>
        <v>-3.4416935114258529E-2</v>
      </c>
      <c r="AJ105" s="5">
        <f t="shared" ca="1" si="4"/>
        <v>0.51902658443117744</v>
      </c>
      <c r="AK105" s="5">
        <f t="shared" ca="1" si="2"/>
        <v>-3.1640846762434151E-2</v>
      </c>
      <c r="AL105" s="5">
        <f t="shared" ca="1" si="5"/>
        <v>0.48738573766874327</v>
      </c>
    </row>
    <row r="106" spans="25:38" x14ac:dyDescent="0.25">
      <c r="Y106">
        <v>42</v>
      </c>
      <c r="AG106">
        <v>16</v>
      </c>
      <c r="AH106" s="7">
        <v>0.78854921023547897</v>
      </c>
      <c r="AI106" s="5">
        <f t="shared" ca="1" si="3"/>
        <v>3.7175583616828406E-2</v>
      </c>
      <c r="AJ106" s="5">
        <f t="shared" ca="1" si="4"/>
        <v>0.82572479385230735</v>
      </c>
      <c r="AK106" s="5">
        <f t="shared" ca="1" si="2"/>
        <v>-3.1469344697524645E-2</v>
      </c>
      <c r="AL106" s="5">
        <f t="shared" ca="1" si="5"/>
        <v>0.79425544915478274</v>
      </c>
    </row>
    <row r="107" spans="25:38" x14ac:dyDescent="0.25">
      <c r="Y107">
        <v>43</v>
      </c>
      <c r="AG107">
        <v>17</v>
      </c>
      <c r="AH107" s="6">
        <v>0.34360099288912299</v>
      </c>
      <c r="AI107" s="5">
        <f t="shared" ca="1" si="3"/>
        <v>3.2783217514491578E-2</v>
      </c>
      <c r="AJ107" s="5">
        <f t="shared" ca="1" si="4"/>
        <v>0.37638421040361458</v>
      </c>
      <c r="AK107" s="5">
        <f t="shared" ca="1" si="2"/>
        <v>-3.0852466495419839E-2</v>
      </c>
      <c r="AL107" s="5">
        <f t="shared" ca="1" si="5"/>
        <v>0.34553174390819474</v>
      </c>
    </row>
    <row r="108" spans="25:38" x14ac:dyDescent="0.25">
      <c r="Y108">
        <v>44</v>
      </c>
      <c r="AG108">
        <v>18</v>
      </c>
      <c r="AH108" s="7">
        <v>0</v>
      </c>
      <c r="AI108" s="5">
        <f t="shared" ca="1" si="3"/>
        <v>3.3039256769751169E-2</v>
      </c>
      <c r="AJ108" s="5">
        <f t="shared" ca="1" si="4"/>
        <v>3.3039256769751169E-2</v>
      </c>
      <c r="AK108" s="5">
        <f t="shared" ca="1" si="2"/>
        <v>-2.3019134604962091E-2</v>
      </c>
      <c r="AL108" s="5">
        <f t="shared" ca="1" si="5"/>
        <v>1.0020122164789078E-2</v>
      </c>
    </row>
    <row r="109" spans="25:38" x14ac:dyDescent="0.25">
      <c r="Y109">
        <v>45</v>
      </c>
      <c r="AG109">
        <v>19</v>
      </c>
      <c r="AH109" s="6">
        <v>0.34378680064676098</v>
      </c>
      <c r="AI109" s="5">
        <f t="shared" ca="1" si="3"/>
        <v>-3.2291137506626821E-2</v>
      </c>
      <c r="AJ109" s="5">
        <f t="shared" ca="1" si="4"/>
        <v>0.31149566314013416</v>
      </c>
      <c r="AK109" s="5">
        <f t="shared" ca="1" si="2"/>
        <v>3.2039608658353536E-2</v>
      </c>
      <c r="AL109" s="5">
        <f t="shared" ca="1" si="5"/>
        <v>0.3435352717984877</v>
      </c>
    </row>
    <row r="110" spans="25:38" x14ac:dyDescent="0.25">
      <c r="Y110">
        <v>46</v>
      </c>
      <c r="AG110">
        <v>20</v>
      </c>
      <c r="AH110" s="7">
        <v>1</v>
      </c>
      <c r="AI110" s="5">
        <f t="shared" ca="1" si="3"/>
        <v>-1.522874914713819E-2</v>
      </c>
      <c r="AJ110" s="5">
        <f t="shared" ca="1" si="4"/>
        <v>0.98477125085286177</v>
      </c>
      <c r="AK110" s="5">
        <f t="shared" ca="1" si="2"/>
        <v>-6.2039574049288088E-3</v>
      </c>
      <c r="AL110" s="5">
        <f t="shared" ca="1" si="5"/>
        <v>0.97856729344793292</v>
      </c>
    </row>
    <row r="111" spans="25:38" x14ac:dyDescent="0.25">
      <c r="Y111">
        <v>47</v>
      </c>
      <c r="AG111">
        <v>21</v>
      </c>
      <c r="AH111" s="6">
        <v>1</v>
      </c>
      <c r="AI111" s="5">
        <f t="shared" ca="1" si="3"/>
        <v>1.623837575593072E-2</v>
      </c>
      <c r="AJ111" s="5">
        <f t="shared" ca="1" si="4"/>
        <v>1</v>
      </c>
      <c r="AK111" s="5">
        <f t="shared" ca="1" si="2"/>
        <v>-4.8408167853834394E-2</v>
      </c>
      <c r="AL111" s="5">
        <f t="shared" ca="1" si="5"/>
        <v>0.95159183214616561</v>
      </c>
    </row>
    <row r="112" spans="25:38" x14ac:dyDescent="0.25">
      <c r="Y112">
        <v>48</v>
      </c>
      <c r="AG112">
        <v>22</v>
      </c>
      <c r="AH112" s="5"/>
      <c r="AI112" s="5"/>
      <c r="AJ112" s="5"/>
      <c r="AK112" s="5"/>
      <c r="AL112" s="5"/>
    </row>
    <row r="113" spans="25:25" x14ac:dyDescent="0.25">
      <c r="Y113">
        <v>49</v>
      </c>
    </row>
    <row r="114" spans="25:25" x14ac:dyDescent="0.25">
      <c r="Y114">
        <v>50</v>
      </c>
    </row>
    <row r="115" spans="25:25" x14ac:dyDescent="0.25">
      <c r="Y115">
        <v>51</v>
      </c>
    </row>
    <row r="116" spans="25:25" x14ac:dyDescent="0.25">
      <c r="Y116">
        <v>52</v>
      </c>
    </row>
    <row r="117" spans="25:25" x14ac:dyDescent="0.25">
      <c r="Y117">
        <v>53</v>
      </c>
    </row>
    <row r="118" spans="25:25" x14ac:dyDescent="0.25">
      <c r="Y118">
        <v>54</v>
      </c>
    </row>
    <row r="119" spans="25:25" x14ac:dyDescent="0.25">
      <c r="Y119">
        <v>55</v>
      </c>
    </row>
    <row r="120" spans="25:25" x14ac:dyDescent="0.25">
      <c r="Y120">
        <v>56</v>
      </c>
    </row>
    <row r="121" spans="25:25" x14ac:dyDescent="0.25">
      <c r="Y121">
        <v>57</v>
      </c>
    </row>
    <row r="122" spans="25:25" x14ac:dyDescent="0.25">
      <c r="Y122">
        <v>58</v>
      </c>
    </row>
    <row r="123" spans="25:25" x14ac:dyDescent="0.25">
      <c r="Y123">
        <v>59</v>
      </c>
    </row>
    <row r="124" spans="25:25" x14ac:dyDescent="0.25">
      <c r="Y124">
        <v>60</v>
      </c>
    </row>
    <row r="125" spans="25:25" x14ac:dyDescent="0.25">
      <c r="Y125">
        <v>61</v>
      </c>
    </row>
    <row r="126" spans="25:25" x14ac:dyDescent="0.25">
      <c r="Y126">
        <v>62</v>
      </c>
    </row>
    <row r="127" spans="25:25" x14ac:dyDescent="0.25">
      <c r="Y127">
        <v>63</v>
      </c>
    </row>
  </sheetData>
  <mergeCells count="11">
    <mergeCell ref="C29:K30"/>
    <mergeCell ref="AA29:AI30"/>
    <mergeCell ref="AY29:BG30"/>
    <mergeCell ref="BK29:BU30"/>
    <mergeCell ref="BY29:CG30"/>
    <mergeCell ref="AM29:AU30"/>
    <mergeCell ref="AB1:AJ2"/>
    <mergeCell ref="AN1:AV2"/>
    <mergeCell ref="O29:W30"/>
    <mergeCell ref="CW29:DE30"/>
    <mergeCell ref="CK29:CS30"/>
  </mergeCells>
  <pageMargins left="0.7" right="0.7" top="0.75" bottom="0.75" header="0.3" footer="0.3"/>
  <pageSetup paperSize="9" orientation="portrait" horizontalDpi="4294967293" verticalDpi="0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9BAA-8977-4D22-B011-D77539E65F64}">
  <dimension ref="A1:DB41"/>
  <sheetViews>
    <sheetView tabSelected="1" topLeftCell="CJ1" zoomScaleNormal="100" workbookViewId="0">
      <selection activeCell="DA5" sqref="DA5"/>
    </sheetView>
  </sheetViews>
  <sheetFormatPr defaultRowHeight="15" x14ac:dyDescent="0.25"/>
  <cols>
    <col min="2" max="2" width="12.42578125" bestFit="1" customWidth="1"/>
    <col min="3" max="3" width="10.140625" bestFit="1" customWidth="1"/>
    <col min="4" max="4" width="12.42578125" bestFit="1" customWidth="1"/>
    <col min="9" max="9" width="10.28515625" bestFit="1" customWidth="1"/>
    <col min="10" max="10" width="10.85546875" bestFit="1" customWidth="1"/>
    <col min="11" max="11" width="14.140625" bestFit="1" customWidth="1"/>
    <col min="12" max="12" width="14.7109375" bestFit="1" customWidth="1"/>
    <col min="14" max="14" width="5.28515625" bestFit="1" customWidth="1"/>
    <col min="15" max="15" width="10.140625" customWidth="1"/>
    <col min="16" max="16" width="9.140625" customWidth="1"/>
    <col min="25" max="25" width="14.7109375" bestFit="1" customWidth="1"/>
    <col min="26" max="39" width="14.7109375" customWidth="1"/>
    <col min="43" max="43" width="11.28515625" bestFit="1" customWidth="1"/>
    <col min="49" max="49" width="10.28515625" bestFit="1" customWidth="1"/>
    <col min="50" max="50" width="10.85546875" bestFit="1" customWidth="1"/>
    <col min="51" max="51" width="14.140625" bestFit="1" customWidth="1"/>
    <col min="52" max="52" width="14.7109375" bestFit="1" customWidth="1"/>
    <col min="53" max="66" width="14.7109375" customWidth="1"/>
    <col min="68" max="69" width="24.85546875" bestFit="1" customWidth="1"/>
    <col min="75" max="75" width="10.28515625" bestFit="1" customWidth="1"/>
    <col min="76" max="76" width="10.85546875" bestFit="1" customWidth="1"/>
    <col min="77" max="77" width="14.140625" bestFit="1" customWidth="1"/>
    <col min="78" max="78" width="14.7109375" bestFit="1" customWidth="1"/>
  </cols>
  <sheetData>
    <row r="1" spans="1:106" x14ac:dyDescent="0.25">
      <c r="B1" s="8" t="s">
        <v>119</v>
      </c>
      <c r="C1" s="8"/>
      <c r="D1" s="8"/>
      <c r="E1" s="8"/>
      <c r="F1" s="8"/>
      <c r="G1" s="8"/>
      <c r="H1" s="8"/>
      <c r="I1" s="1"/>
      <c r="J1" s="1"/>
      <c r="K1" s="1"/>
      <c r="L1" s="1"/>
      <c r="N1" s="8">
        <v>63</v>
      </c>
      <c r="O1" s="8"/>
      <c r="P1" s="8"/>
      <c r="Q1" s="8"/>
      <c r="R1" s="8"/>
      <c r="S1" s="8"/>
      <c r="T1" s="8"/>
      <c r="U1" s="8"/>
      <c r="V1" s="1"/>
      <c r="W1" s="1"/>
      <c r="X1" s="1"/>
      <c r="Y1" s="1"/>
      <c r="Z1" s="1"/>
      <c r="AA1" s="8" t="s">
        <v>100</v>
      </c>
      <c r="AB1" s="8"/>
      <c r="AC1" s="8"/>
      <c r="AD1" s="8"/>
      <c r="AE1" s="8"/>
      <c r="AF1" s="8"/>
      <c r="AG1" s="8"/>
      <c r="AH1" s="8"/>
      <c r="AI1" s="1"/>
      <c r="AJ1" s="1"/>
      <c r="AK1" s="1"/>
      <c r="AL1" s="1"/>
      <c r="AM1" s="1"/>
      <c r="AO1" s="8">
        <v>28</v>
      </c>
      <c r="AP1" s="8"/>
      <c r="AQ1" s="8"/>
      <c r="AR1" s="8"/>
      <c r="AS1" s="8"/>
      <c r="AT1" s="8"/>
      <c r="AU1" s="8"/>
      <c r="AV1" s="8"/>
      <c r="AW1" s="1"/>
      <c r="AX1" s="1"/>
      <c r="AY1" s="1"/>
      <c r="AZ1" s="1"/>
      <c r="BA1" s="1"/>
      <c r="BB1" s="8" t="s">
        <v>101</v>
      </c>
      <c r="BC1" s="8"/>
      <c r="BD1" s="8"/>
      <c r="BE1" s="8"/>
      <c r="BF1" s="8"/>
      <c r="BG1" s="8"/>
      <c r="BH1" s="8"/>
      <c r="BI1" s="8"/>
      <c r="BJ1" s="1"/>
      <c r="BK1" s="1"/>
      <c r="BL1" s="1"/>
      <c r="BM1" s="1"/>
      <c r="BN1" s="1"/>
      <c r="BO1" s="8" t="s">
        <v>99</v>
      </c>
      <c r="BP1" s="8"/>
      <c r="BQ1" s="8"/>
      <c r="BR1" s="8"/>
      <c r="BS1" s="8"/>
      <c r="BT1" s="8"/>
      <c r="BU1" s="8"/>
      <c r="BV1" s="8"/>
      <c r="CB1" s="8" t="s">
        <v>109</v>
      </c>
      <c r="CC1" s="8"/>
      <c r="CD1" s="8"/>
      <c r="CE1" s="8"/>
      <c r="CF1" s="8"/>
      <c r="CG1" s="8"/>
      <c r="CH1" s="8"/>
      <c r="CI1" s="8"/>
      <c r="CP1" s="8" t="s">
        <v>108</v>
      </c>
      <c r="CQ1" s="8"/>
      <c r="CR1" s="8"/>
      <c r="CS1" s="8"/>
      <c r="CT1" s="8"/>
      <c r="CU1" s="8"/>
      <c r="CV1" s="8"/>
      <c r="CW1" s="8"/>
    </row>
    <row r="2" spans="1:106" x14ac:dyDescent="0.25">
      <c r="B2" s="8"/>
      <c r="C2" s="8"/>
      <c r="D2" s="8"/>
      <c r="E2" s="8"/>
      <c r="F2" s="8"/>
      <c r="G2" s="8"/>
      <c r="H2" s="8"/>
      <c r="I2" s="1"/>
      <c r="J2" s="1"/>
      <c r="K2" s="1"/>
      <c r="L2" s="1"/>
      <c r="N2" s="8"/>
      <c r="O2" s="8"/>
      <c r="P2" s="8"/>
      <c r="Q2" s="8"/>
      <c r="R2" s="8"/>
      <c r="S2" s="8"/>
      <c r="T2" s="8"/>
      <c r="U2" s="8"/>
      <c r="V2" s="1"/>
      <c r="W2" s="1"/>
      <c r="X2" s="1"/>
      <c r="Y2" s="1"/>
      <c r="Z2" s="1"/>
      <c r="AA2" s="8"/>
      <c r="AB2" s="8"/>
      <c r="AC2" s="8"/>
      <c r="AD2" s="8"/>
      <c r="AE2" s="8"/>
      <c r="AF2" s="8"/>
      <c r="AG2" s="8"/>
      <c r="AH2" s="8"/>
      <c r="AI2" s="1"/>
      <c r="AJ2" s="1"/>
      <c r="AK2" s="1"/>
      <c r="AL2" s="1"/>
      <c r="AM2" s="1"/>
      <c r="AO2" s="8"/>
      <c r="AP2" s="8"/>
      <c r="AQ2" s="8"/>
      <c r="AR2" s="8"/>
      <c r="AS2" s="8"/>
      <c r="AT2" s="8"/>
      <c r="AU2" s="8"/>
      <c r="AV2" s="8"/>
      <c r="AW2" s="1"/>
      <c r="AX2" s="1"/>
      <c r="AY2" s="1"/>
      <c r="AZ2" s="1"/>
      <c r="BA2" s="1"/>
      <c r="BB2" s="8"/>
      <c r="BC2" s="8"/>
      <c r="BD2" s="8"/>
      <c r="BE2" s="8"/>
      <c r="BF2" s="8"/>
      <c r="BG2" s="8"/>
      <c r="BH2" s="8"/>
      <c r="BI2" s="8"/>
      <c r="BJ2" s="1"/>
      <c r="BK2" s="1"/>
      <c r="BL2" s="1"/>
      <c r="BM2" s="1"/>
      <c r="BN2" s="1"/>
      <c r="BO2" s="8"/>
      <c r="BP2" s="8"/>
      <c r="BQ2" s="8"/>
      <c r="BR2" s="8"/>
      <c r="BS2" s="8"/>
      <c r="BT2" s="8"/>
      <c r="BU2" s="8"/>
      <c r="BV2" s="8"/>
      <c r="CB2" s="8"/>
      <c r="CC2" s="8"/>
      <c r="CD2" s="8"/>
      <c r="CE2" s="8"/>
      <c r="CF2" s="8"/>
      <c r="CG2" s="8"/>
      <c r="CH2" s="8"/>
      <c r="CI2" s="8"/>
      <c r="CP2" s="8"/>
      <c r="CQ2" s="8"/>
      <c r="CR2" s="8"/>
      <c r="CS2" s="8"/>
      <c r="CT2" s="8"/>
      <c r="CU2" s="8"/>
      <c r="CV2" s="8"/>
      <c r="CW2" s="8"/>
    </row>
    <row r="3" spans="1:106" x14ac:dyDescent="0.25">
      <c r="A3" t="s">
        <v>64</v>
      </c>
      <c r="B3" t="s">
        <v>59</v>
      </c>
      <c r="C3" t="s">
        <v>60</v>
      </c>
      <c r="D3" t="s">
        <v>61</v>
      </c>
      <c r="E3" t="s">
        <v>66</v>
      </c>
      <c r="F3" t="s">
        <v>67</v>
      </c>
      <c r="G3" t="s">
        <v>63</v>
      </c>
      <c r="H3" t="s">
        <v>62</v>
      </c>
      <c r="I3" t="s">
        <v>69</v>
      </c>
      <c r="J3" t="s">
        <v>70</v>
      </c>
      <c r="K3" t="s">
        <v>71</v>
      </c>
      <c r="L3" t="s">
        <v>72</v>
      </c>
      <c r="N3" t="s">
        <v>64</v>
      </c>
      <c r="O3" t="s">
        <v>59</v>
      </c>
      <c r="P3" t="s">
        <v>60</v>
      </c>
      <c r="Q3" t="s">
        <v>61</v>
      </c>
      <c r="R3" t="s">
        <v>66</v>
      </c>
      <c r="S3" t="s">
        <v>67</v>
      </c>
      <c r="T3" t="s">
        <v>63</v>
      </c>
      <c r="U3" t="s">
        <v>62</v>
      </c>
      <c r="AA3" t="s">
        <v>64</v>
      </c>
      <c r="AB3" t="s">
        <v>59</v>
      </c>
      <c r="AC3" t="s">
        <v>60</v>
      </c>
      <c r="AD3" t="s">
        <v>61</v>
      </c>
      <c r="AE3" t="s">
        <v>66</v>
      </c>
      <c r="AF3" t="s">
        <v>67</v>
      </c>
      <c r="AG3" t="s">
        <v>63</v>
      </c>
      <c r="AH3" t="s">
        <v>62</v>
      </c>
      <c r="AI3" t="s">
        <v>69</v>
      </c>
      <c r="AJ3" t="s">
        <v>70</v>
      </c>
      <c r="AK3" t="s">
        <v>71</v>
      </c>
      <c r="AL3" t="s">
        <v>72</v>
      </c>
      <c r="AO3" t="s">
        <v>64</v>
      </c>
      <c r="AP3" t="s">
        <v>59</v>
      </c>
      <c r="AQ3" t="s">
        <v>60</v>
      </c>
      <c r="AR3" t="s">
        <v>61</v>
      </c>
      <c r="AS3" t="s">
        <v>66</v>
      </c>
      <c r="AT3" t="s">
        <v>67</v>
      </c>
      <c r="AU3" t="s">
        <v>63</v>
      </c>
      <c r="AV3" t="s">
        <v>62</v>
      </c>
      <c r="BB3" t="s">
        <v>64</v>
      </c>
      <c r="BC3" t="s">
        <v>59</v>
      </c>
      <c r="BD3" t="s">
        <v>60</v>
      </c>
      <c r="BE3" t="s">
        <v>61</v>
      </c>
      <c r="BF3" t="s">
        <v>66</v>
      </c>
      <c r="BG3" t="s">
        <v>67</v>
      </c>
      <c r="BH3" t="s">
        <v>63</v>
      </c>
      <c r="BI3" t="s">
        <v>62</v>
      </c>
      <c r="BJ3" t="s">
        <v>69</v>
      </c>
      <c r="BK3" t="s">
        <v>70</v>
      </c>
      <c r="BL3" t="s">
        <v>71</v>
      </c>
      <c r="BM3" t="s">
        <v>72</v>
      </c>
      <c r="BO3" t="s">
        <v>64</v>
      </c>
      <c r="BP3" t="s">
        <v>59</v>
      </c>
      <c r="BQ3" t="s">
        <v>60</v>
      </c>
      <c r="BR3" t="s">
        <v>61</v>
      </c>
      <c r="BS3" t="s">
        <v>66</v>
      </c>
      <c r="BT3" t="s">
        <v>67</v>
      </c>
      <c r="BU3" t="s">
        <v>63</v>
      </c>
      <c r="BV3" t="s">
        <v>62</v>
      </c>
      <c r="BW3" t="s">
        <v>69</v>
      </c>
      <c r="BX3" t="s">
        <v>70</v>
      </c>
      <c r="BY3" t="s">
        <v>71</v>
      </c>
      <c r="BZ3" t="s">
        <v>72</v>
      </c>
      <c r="CB3" t="s">
        <v>64</v>
      </c>
      <c r="CC3" t="s">
        <v>59</v>
      </c>
      <c r="CD3" t="s">
        <v>60</v>
      </c>
      <c r="CE3" t="s">
        <v>61</v>
      </c>
      <c r="CF3" t="s">
        <v>66</v>
      </c>
      <c r="CG3" t="s">
        <v>67</v>
      </c>
      <c r="CH3" t="s">
        <v>63</v>
      </c>
      <c r="CI3" t="s">
        <v>62</v>
      </c>
      <c r="CJ3" t="s">
        <v>69</v>
      </c>
      <c r="CK3" t="s">
        <v>70</v>
      </c>
      <c r="CL3" t="s">
        <v>71</v>
      </c>
      <c r="CM3" t="s">
        <v>72</v>
      </c>
      <c r="CP3" t="s">
        <v>64</v>
      </c>
      <c r="CQ3" t="s">
        <v>59</v>
      </c>
      <c r="CR3" t="s">
        <v>60</v>
      </c>
      <c r="CS3" t="s">
        <v>61</v>
      </c>
      <c r="CT3" t="s">
        <v>66</v>
      </c>
      <c r="CU3" t="s">
        <v>67</v>
      </c>
      <c r="CV3" t="s">
        <v>63</v>
      </c>
      <c r="CW3" t="s">
        <v>62</v>
      </c>
      <c r="CX3" t="s">
        <v>69</v>
      </c>
      <c r="CY3" t="s">
        <v>70</v>
      </c>
      <c r="CZ3" t="s">
        <v>71</v>
      </c>
      <c r="DA3" t="s">
        <v>72</v>
      </c>
    </row>
    <row r="4" spans="1:106" x14ac:dyDescent="0.25">
      <c r="A4" t="s">
        <v>65</v>
      </c>
      <c r="B4" t="s">
        <v>68</v>
      </c>
      <c r="C4" t="s">
        <v>119</v>
      </c>
      <c r="D4">
        <v>18000</v>
      </c>
      <c r="E4">
        <f>G4/D4</f>
        <v>0.47044444444444444</v>
      </c>
      <c r="F4" s="5">
        <f>1-E4</f>
        <v>0.52955555555555556</v>
      </c>
      <c r="G4">
        <v>8468</v>
      </c>
      <c r="H4">
        <f>D4-G4</f>
        <v>9532</v>
      </c>
      <c r="I4">
        <v>20.5</v>
      </c>
      <c r="J4">
        <v>20.2</v>
      </c>
      <c r="K4">
        <v>19.2</v>
      </c>
      <c r="L4">
        <v>18.5</v>
      </c>
      <c r="N4" t="s">
        <v>65</v>
      </c>
      <c r="O4" t="s">
        <v>68</v>
      </c>
      <c r="P4">
        <v>63</v>
      </c>
      <c r="Q4">
        <v>18000</v>
      </c>
      <c r="R4">
        <f>T4/Q4</f>
        <v>0.54800000000000004</v>
      </c>
      <c r="S4">
        <f>1-R4</f>
        <v>0.45199999999999996</v>
      </c>
      <c r="T4">
        <v>9864</v>
      </c>
      <c r="U4">
        <f>Q4-T4</f>
        <v>8136</v>
      </c>
      <c r="AA4" t="s">
        <v>65</v>
      </c>
      <c r="AD4">
        <v>18000</v>
      </c>
      <c r="AE4">
        <f>AG4/AD4</f>
        <v>0</v>
      </c>
      <c r="AF4">
        <f>1-AE4</f>
        <v>1</v>
      </c>
      <c r="AH4">
        <f>AD4-AG4</f>
        <v>18000</v>
      </c>
      <c r="AO4" t="s">
        <v>65</v>
      </c>
      <c r="AP4" t="s">
        <v>68</v>
      </c>
      <c r="AQ4">
        <v>28</v>
      </c>
      <c r="AR4">
        <v>18000</v>
      </c>
      <c r="AS4" s="5">
        <f>AU4/AR4</f>
        <v>0.53833333333333333</v>
      </c>
      <c r="AT4">
        <f>1-AS4</f>
        <v>0.46166666666666667</v>
      </c>
      <c r="AU4">
        <v>9690</v>
      </c>
      <c r="AV4">
        <f>AR4-AU4</f>
        <v>8310</v>
      </c>
      <c r="BB4" t="s">
        <v>65</v>
      </c>
      <c r="BC4" t="s">
        <v>68</v>
      </c>
      <c r="BD4" t="s">
        <v>77</v>
      </c>
      <c r="BE4">
        <v>18000</v>
      </c>
      <c r="BF4">
        <f>BH4/BE4</f>
        <v>0.998</v>
      </c>
      <c r="BG4">
        <f>1-BF4</f>
        <v>2.0000000000000018E-3</v>
      </c>
      <c r="BH4">
        <v>17964</v>
      </c>
      <c r="BI4">
        <f>BE4-BH4</f>
        <v>36</v>
      </c>
      <c r="BJ4">
        <v>14.3</v>
      </c>
      <c r="BK4">
        <v>16.8</v>
      </c>
      <c r="BL4">
        <v>27.42</v>
      </c>
      <c r="BM4">
        <v>16.32</v>
      </c>
      <c r="BO4" t="s">
        <v>65</v>
      </c>
      <c r="BP4" t="s">
        <v>68</v>
      </c>
      <c r="BQ4" t="s">
        <v>105</v>
      </c>
      <c r="BR4">
        <v>18000</v>
      </c>
      <c r="BS4">
        <f>BU4/BR4</f>
        <v>0.41111111111111109</v>
      </c>
      <c r="BT4" s="5">
        <f>1-BS4</f>
        <v>0.58888888888888891</v>
      </c>
      <c r="BU4">
        <v>7400</v>
      </c>
      <c r="BV4">
        <f>BR4-BU4</f>
        <v>10600</v>
      </c>
      <c r="CB4" t="s">
        <v>65</v>
      </c>
      <c r="CC4" t="s">
        <v>68</v>
      </c>
      <c r="CD4" t="s">
        <v>111</v>
      </c>
      <c r="CE4">
        <v>18000</v>
      </c>
      <c r="CF4">
        <f>CH4/CE4</f>
        <v>0.65522222222222226</v>
      </c>
      <c r="CG4" s="5">
        <f>1-CF4</f>
        <v>0.34477777777777774</v>
      </c>
      <c r="CH4">
        <v>11794</v>
      </c>
      <c r="CI4">
        <f>CE4-CH4</f>
        <v>6206</v>
      </c>
      <c r="CJ4">
        <v>18.3</v>
      </c>
      <c r="CK4">
        <v>19.2</v>
      </c>
      <c r="CL4">
        <v>19.2</v>
      </c>
      <c r="CM4">
        <v>17.399999999999999</v>
      </c>
      <c r="CN4" t="s">
        <v>116</v>
      </c>
      <c r="CP4" t="s">
        <v>65</v>
      </c>
      <c r="CQ4" t="s">
        <v>68</v>
      </c>
      <c r="CR4" t="s">
        <v>121</v>
      </c>
      <c r="CS4">
        <v>18000</v>
      </c>
      <c r="CT4">
        <f>CV4/CS4</f>
        <v>0.48849999999999999</v>
      </c>
      <c r="CU4" s="5">
        <f>1-CT4</f>
        <v>0.51150000000000007</v>
      </c>
      <c r="CV4">
        <v>8793</v>
      </c>
      <c r="CW4">
        <f>CS4-CV4</f>
        <v>9207</v>
      </c>
      <c r="CX4">
        <v>19.8</v>
      </c>
      <c r="CY4">
        <v>20.100000000000001</v>
      </c>
      <c r="CZ4">
        <v>18.7</v>
      </c>
      <c r="DA4">
        <v>18.2</v>
      </c>
      <c r="DB4" t="s">
        <v>120</v>
      </c>
    </row>
    <row r="5" spans="1:106" x14ac:dyDescent="0.25">
      <c r="BB5" t="s">
        <v>65</v>
      </c>
      <c r="BC5" t="s">
        <v>68</v>
      </c>
      <c r="BD5" t="s">
        <v>107</v>
      </c>
      <c r="BE5">
        <v>18000</v>
      </c>
      <c r="BF5">
        <f>BH5/BE5</f>
        <v>0.71499999999999997</v>
      </c>
      <c r="BG5">
        <f>1-BF5</f>
        <v>0.28500000000000003</v>
      </c>
      <c r="BH5">
        <v>12870</v>
      </c>
      <c r="BI5">
        <f>BE5-BH5</f>
        <v>5130</v>
      </c>
      <c r="BJ5">
        <v>19.5</v>
      </c>
      <c r="BK5">
        <v>22.2</v>
      </c>
      <c r="BL5">
        <v>22.6</v>
      </c>
      <c r="BM5">
        <v>17.100000000000001</v>
      </c>
    </row>
    <row r="6" spans="1:106" x14ac:dyDescent="0.25">
      <c r="N6" t="s">
        <v>64</v>
      </c>
      <c r="O6" t="s">
        <v>59</v>
      </c>
      <c r="P6" t="s">
        <v>60</v>
      </c>
      <c r="Q6" t="s">
        <v>61</v>
      </c>
      <c r="R6" t="s">
        <v>66</v>
      </c>
      <c r="S6" t="s">
        <v>67</v>
      </c>
      <c r="T6" t="s">
        <v>63</v>
      </c>
      <c r="U6" t="s">
        <v>62</v>
      </c>
      <c r="AA6" t="s">
        <v>64</v>
      </c>
      <c r="AB6" t="s">
        <v>59</v>
      </c>
      <c r="AC6" t="s">
        <v>60</v>
      </c>
      <c r="AD6" t="s">
        <v>61</v>
      </c>
      <c r="AE6" t="s">
        <v>66</v>
      </c>
      <c r="AF6" t="s">
        <v>67</v>
      </c>
      <c r="AG6" t="s">
        <v>63</v>
      </c>
      <c r="AH6" t="s">
        <v>62</v>
      </c>
      <c r="AI6" t="s">
        <v>69</v>
      </c>
      <c r="AJ6" t="s">
        <v>70</v>
      </c>
      <c r="AK6" t="s">
        <v>71</v>
      </c>
      <c r="AL6" t="s">
        <v>72</v>
      </c>
      <c r="AO6" t="s">
        <v>64</v>
      </c>
      <c r="AP6" t="s">
        <v>59</v>
      </c>
      <c r="AQ6" t="s">
        <v>60</v>
      </c>
      <c r="AR6" t="s">
        <v>61</v>
      </c>
      <c r="AS6" t="s">
        <v>66</v>
      </c>
      <c r="AT6" t="s">
        <v>67</v>
      </c>
      <c r="AU6" t="s">
        <v>63</v>
      </c>
      <c r="AV6" t="s">
        <v>62</v>
      </c>
      <c r="AW6" t="s">
        <v>69</v>
      </c>
      <c r="AX6" t="s">
        <v>70</v>
      </c>
      <c r="AY6" t="s">
        <v>71</v>
      </c>
      <c r="AZ6" t="s">
        <v>72</v>
      </c>
      <c r="BO6" t="s">
        <v>64</v>
      </c>
      <c r="BP6" t="s">
        <v>59</v>
      </c>
      <c r="BQ6" t="s">
        <v>60</v>
      </c>
      <c r="BR6" t="s">
        <v>61</v>
      </c>
      <c r="BS6" t="s">
        <v>66</v>
      </c>
      <c r="BT6" t="s">
        <v>67</v>
      </c>
      <c r="BU6" t="s">
        <v>63</v>
      </c>
      <c r="BV6" t="s">
        <v>62</v>
      </c>
      <c r="BW6" t="s">
        <v>69</v>
      </c>
      <c r="BX6" t="s">
        <v>70</v>
      </c>
      <c r="BY6" t="s">
        <v>71</v>
      </c>
      <c r="BZ6" t="s">
        <v>72</v>
      </c>
      <c r="CB6" t="s">
        <v>64</v>
      </c>
      <c r="CC6" t="s">
        <v>59</v>
      </c>
      <c r="CD6" t="s">
        <v>60</v>
      </c>
      <c r="CE6" t="s">
        <v>61</v>
      </c>
      <c r="CF6" t="s">
        <v>66</v>
      </c>
      <c r="CG6" t="s">
        <v>67</v>
      </c>
      <c r="CH6" t="s">
        <v>63</v>
      </c>
      <c r="CI6" t="s">
        <v>62</v>
      </c>
      <c r="CJ6" t="s">
        <v>69</v>
      </c>
      <c r="CK6" t="s">
        <v>70</v>
      </c>
      <c r="CL6" t="s">
        <v>71</v>
      </c>
      <c r="CM6" t="s">
        <v>72</v>
      </c>
    </row>
    <row r="7" spans="1:106" x14ac:dyDescent="0.25">
      <c r="E7" s="5"/>
      <c r="N7" t="s">
        <v>65</v>
      </c>
      <c r="O7">
        <v>63</v>
      </c>
      <c r="P7">
        <v>28</v>
      </c>
      <c r="Q7">
        <v>18000</v>
      </c>
      <c r="R7">
        <f>T7/Q7</f>
        <v>0.47294444444444445</v>
      </c>
      <c r="S7">
        <f>1-R7</f>
        <v>0.52705555555555561</v>
      </c>
      <c r="T7">
        <v>8513</v>
      </c>
      <c r="U7">
        <f>Q7-T7</f>
        <v>9487</v>
      </c>
      <c r="AA7" t="s">
        <v>65</v>
      </c>
      <c r="AD7">
        <v>18000</v>
      </c>
      <c r="AE7">
        <f>AG7/AD7</f>
        <v>0</v>
      </c>
      <c r="AF7">
        <f>1-AE7</f>
        <v>1</v>
      </c>
      <c r="AH7">
        <f>AD7-AG7</f>
        <v>18000</v>
      </c>
      <c r="AO7" t="s">
        <v>65</v>
      </c>
      <c r="AP7">
        <v>63</v>
      </c>
      <c r="AQ7">
        <v>28</v>
      </c>
      <c r="AR7">
        <v>18000</v>
      </c>
      <c r="AS7">
        <f>AU7/AR7</f>
        <v>0.47294444444444445</v>
      </c>
      <c r="AT7">
        <f>1-AS7</f>
        <v>0.52705555555555561</v>
      </c>
      <c r="AU7">
        <v>8513</v>
      </c>
      <c r="AV7">
        <f>AR7-AU7</f>
        <v>9487</v>
      </c>
      <c r="BO7" t="s">
        <v>65</v>
      </c>
      <c r="BP7" t="s">
        <v>68</v>
      </c>
      <c r="BQ7" t="s">
        <v>105</v>
      </c>
      <c r="BR7">
        <v>18000</v>
      </c>
      <c r="BS7">
        <f>BU7/BR7</f>
        <v>0.4097777777777778</v>
      </c>
      <c r="BT7" s="5">
        <f>1-BS7</f>
        <v>0.5902222222222222</v>
      </c>
      <c r="BU7">
        <v>7376</v>
      </c>
      <c r="BV7">
        <f>BR7-BU7</f>
        <v>10624</v>
      </c>
      <c r="BW7">
        <v>20.25</v>
      </c>
      <c r="BX7">
        <v>19.59</v>
      </c>
      <c r="BY7">
        <v>18.62</v>
      </c>
      <c r="BZ7">
        <v>18.809999999999999</v>
      </c>
      <c r="CB7" t="s">
        <v>65</v>
      </c>
      <c r="CC7" t="s">
        <v>68</v>
      </c>
      <c r="CD7" t="s">
        <v>111</v>
      </c>
      <c r="CE7">
        <v>18000</v>
      </c>
      <c r="CF7">
        <f>CH7/CE7</f>
        <v>0.52722222222222226</v>
      </c>
      <c r="CG7" s="5">
        <f>1-CF7</f>
        <v>0.47277777777777774</v>
      </c>
      <c r="CH7">
        <v>9490</v>
      </c>
      <c r="CI7">
        <f>CE7-CH7</f>
        <v>8510</v>
      </c>
      <c r="CJ7">
        <v>19.899999999999999</v>
      </c>
      <c r="CK7" t="s">
        <v>118</v>
      </c>
      <c r="CL7">
        <v>19.5</v>
      </c>
      <c r="CM7">
        <v>18.600000000000001</v>
      </c>
      <c r="CN7" t="s">
        <v>117</v>
      </c>
      <c r="CU7" s="5"/>
    </row>
    <row r="9" spans="1:106" x14ac:dyDescent="0.25">
      <c r="N9" t="s">
        <v>64</v>
      </c>
      <c r="O9" t="s">
        <v>59</v>
      </c>
      <c r="P9" t="s">
        <v>60</v>
      </c>
      <c r="Q9" t="s">
        <v>61</v>
      </c>
      <c r="R9" t="s">
        <v>66</v>
      </c>
      <c r="S9" t="s">
        <v>67</v>
      </c>
      <c r="T9" t="s">
        <v>63</v>
      </c>
      <c r="U9" t="s">
        <v>62</v>
      </c>
      <c r="V9" t="s">
        <v>69</v>
      </c>
      <c r="W9" t="s">
        <v>70</v>
      </c>
      <c r="X9" t="s">
        <v>71</v>
      </c>
      <c r="Y9" t="s">
        <v>72</v>
      </c>
      <c r="AO9" t="s">
        <v>64</v>
      </c>
      <c r="AP9" t="s">
        <v>59</v>
      </c>
      <c r="AQ9" t="s">
        <v>60</v>
      </c>
      <c r="AR9" t="s">
        <v>61</v>
      </c>
      <c r="AS9" t="s">
        <v>66</v>
      </c>
      <c r="AT9" t="s">
        <v>67</v>
      </c>
      <c r="AU9" t="s">
        <v>63</v>
      </c>
      <c r="AV9" t="s">
        <v>62</v>
      </c>
      <c r="AW9" t="s">
        <v>69</v>
      </c>
      <c r="AX9" t="s">
        <v>70</v>
      </c>
      <c r="AY9" t="s">
        <v>71</v>
      </c>
      <c r="AZ9" t="s">
        <v>72</v>
      </c>
      <c r="BO9" t="s">
        <v>64</v>
      </c>
      <c r="BP9" t="s">
        <v>59</v>
      </c>
      <c r="BQ9" t="s">
        <v>60</v>
      </c>
      <c r="BR9" t="s">
        <v>61</v>
      </c>
      <c r="BS9" t="s">
        <v>66</v>
      </c>
      <c r="BT9" t="s">
        <v>67</v>
      </c>
      <c r="BU9" t="s">
        <v>63</v>
      </c>
      <c r="BV9" t="s">
        <v>62</v>
      </c>
      <c r="BW9" t="s">
        <v>69</v>
      </c>
      <c r="BX9" t="s">
        <v>70</v>
      </c>
      <c r="BY9" t="s">
        <v>71</v>
      </c>
      <c r="BZ9" t="s">
        <v>72</v>
      </c>
    </row>
    <row r="10" spans="1:106" x14ac:dyDescent="0.25">
      <c r="F10" s="5"/>
      <c r="N10" t="s">
        <v>65</v>
      </c>
      <c r="O10" t="s">
        <v>68</v>
      </c>
      <c r="P10">
        <v>63</v>
      </c>
      <c r="Q10">
        <v>18000</v>
      </c>
      <c r="R10">
        <f>T10/Q10</f>
        <v>0.55466666666666664</v>
      </c>
      <c r="S10">
        <f>1-R10</f>
        <v>0.44533333333333336</v>
      </c>
      <c r="T10">
        <v>9984</v>
      </c>
      <c r="U10">
        <f>Q10-T10</f>
        <v>8016</v>
      </c>
      <c r="V10">
        <v>18.95</v>
      </c>
      <c r="W10">
        <v>19.350000000000001</v>
      </c>
      <c r="X10">
        <v>18.75</v>
      </c>
      <c r="Y10">
        <v>18.14</v>
      </c>
      <c r="AO10" t="s">
        <v>65</v>
      </c>
      <c r="AP10" t="s">
        <v>68</v>
      </c>
      <c r="AQ10">
        <v>28</v>
      </c>
      <c r="AR10">
        <v>18000</v>
      </c>
      <c r="AS10" s="5">
        <f>AU10/AR10</f>
        <v>0.53466666666666662</v>
      </c>
      <c r="AT10">
        <f>1-AS10</f>
        <v>0.46533333333333338</v>
      </c>
      <c r="AU10">
        <v>9624</v>
      </c>
      <c r="AV10">
        <f>AR10-AU10</f>
        <v>8376</v>
      </c>
      <c r="AW10">
        <v>19.39</v>
      </c>
      <c r="AX10">
        <v>18.7</v>
      </c>
      <c r="AY10">
        <v>17.73</v>
      </c>
      <c r="AZ10">
        <v>18.62</v>
      </c>
      <c r="BF10" s="5"/>
      <c r="BO10" t="s">
        <v>65</v>
      </c>
      <c r="BP10" t="s">
        <v>106</v>
      </c>
      <c r="BQ10" t="s">
        <v>105</v>
      </c>
      <c r="BR10">
        <v>18000</v>
      </c>
      <c r="BS10">
        <f>BU10/BR10</f>
        <v>0</v>
      </c>
      <c r="BT10" s="5">
        <f>1-BS10</f>
        <v>1</v>
      </c>
      <c r="BV10">
        <f>BR10-BU10</f>
        <v>18000</v>
      </c>
      <c r="CG10" s="5"/>
    </row>
    <row r="16" spans="1:106" x14ac:dyDescent="0.25">
      <c r="E16" s="5"/>
    </row>
    <row r="19" spans="6:6" x14ac:dyDescent="0.25">
      <c r="F19" s="5"/>
    </row>
    <row r="25" spans="6:6" x14ac:dyDescent="0.25">
      <c r="F25" s="5"/>
    </row>
    <row r="28" spans="6:6" x14ac:dyDescent="0.25">
      <c r="F28" s="5"/>
    </row>
    <row r="40" spans="1:12" x14ac:dyDescent="0.25">
      <c r="A40" t="s">
        <v>64</v>
      </c>
      <c r="B40" t="s">
        <v>59</v>
      </c>
      <c r="C40" t="s">
        <v>60</v>
      </c>
      <c r="D40" t="s">
        <v>61</v>
      </c>
      <c r="E40" t="s">
        <v>66</v>
      </c>
      <c r="F40" t="s">
        <v>67</v>
      </c>
      <c r="G40" t="s">
        <v>63</v>
      </c>
      <c r="H40" t="s">
        <v>62</v>
      </c>
      <c r="I40" t="s">
        <v>69</v>
      </c>
      <c r="J40" t="s">
        <v>70</v>
      </c>
      <c r="K40" t="s">
        <v>71</v>
      </c>
      <c r="L40" t="s">
        <v>72</v>
      </c>
    </row>
    <row r="41" spans="1:12" x14ac:dyDescent="0.25">
      <c r="A41" t="s">
        <v>65</v>
      </c>
      <c r="D41">
        <v>18000</v>
      </c>
      <c r="E41">
        <f>G41/D41</f>
        <v>0</v>
      </c>
      <c r="F41">
        <f>1-E41</f>
        <v>1</v>
      </c>
      <c r="H41">
        <f>D41-G41</f>
        <v>18000</v>
      </c>
    </row>
  </sheetData>
  <mergeCells count="8">
    <mergeCell ref="CP1:CW2"/>
    <mergeCell ref="CB1:CI2"/>
    <mergeCell ref="B1:H2"/>
    <mergeCell ref="N1:U2"/>
    <mergeCell ref="AO1:AV2"/>
    <mergeCell ref="BO1:BV2"/>
    <mergeCell ref="AA1:AH2"/>
    <mergeCell ref="BB1:B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Weights</vt:lpstr>
      <vt:lpstr>Fights_8_8_200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Krzyśków (266614)</dc:creator>
  <cp:lastModifiedBy>Andrzej Krzyśków (266614)</cp:lastModifiedBy>
  <dcterms:created xsi:type="dcterms:W3CDTF">2026-03-21T14:19:48Z</dcterms:created>
  <dcterms:modified xsi:type="dcterms:W3CDTF">2026-04-08T22:09:54Z</dcterms:modified>
</cp:coreProperties>
</file>