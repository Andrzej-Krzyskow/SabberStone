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cs_Movies\vids\PWr\Sem10\magisterka\SabberStone\core-extensions\SabberStoneCoreAi\my_results\"/>
    </mc:Choice>
  </mc:AlternateContent>
  <xr:revisionPtr revIDLastSave="0" documentId="13_ncr:1_{6E83C53A-5A53-42D4-9AF9-86BC74C0B482}" xr6:coauthVersionLast="47" xr6:coauthVersionMax="47" xr10:uidLastSave="{00000000-0000-0000-0000-000000000000}"/>
  <bookViews>
    <workbookView xWindow="41310" yWindow="2775" windowWidth="28800" windowHeight="15885" xr2:uid="{23FC15A1-DE11-4199-B1D8-4DE8B55B0A24}"/>
  </bookViews>
  <sheets>
    <sheet name="Weights" sheetId="1" r:id="rId1"/>
    <sheet name="Figh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1" i="1" l="1"/>
  <c r="AJ91" i="1" s="1"/>
  <c r="BB66" i="1"/>
  <c r="BR33" i="1"/>
  <c r="BQ33" i="1"/>
  <c r="BP33" i="1"/>
  <c r="BO33" i="1"/>
  <c r="BN32" i="1"/>
  <c r="BB32" i="1"/>
  <c r="H19" i="2"/>
  <c r="E19" i="2"/>
  <c r="F19" i="2" s="1"/>
  <c r="AU7" i="2"/>
  <c r="AR7" i="2"/>
  <c r="AS7" i="2" s="1"/>
  <c r="AI92" i="1"/>
  <c r="AJ92" i="1" s="1"/>
  <c r="AI93" i="1"/>
  <c r="AJ93" i="1" s="1"/>
  <c r="AI94" i="1"/>
  <c r="AJ94" i="1" s="1"/>
  <c r="AI95" i="1"/>
  <c r="AJ95" i="1" s="1"/>
  <c r="AI96" i="1"/>
  <c r="AJ96" i="1" s="1"/>
  <c r="AI97" i="1"/>
  <c r="AJ97" i="1" s="1"/>
  <c r="AI98" i="1"/>
  <c r="AJ98" i="1" s="1"/>
  <c r="AI99" i="1"/>
  <c r="AJ99" i="1" s="1"/>
  <c r="AI100" i="1"/>
  <c r="AJ100" i="1" s="1"/>
  <c r="AI101" i="1"/>
  <c r="AJ101" i="1" s="1"/>
  <c r="AI102" i="1"/>
  <c r="AJ102" i="1" s="1"/>
  <c r="AI103" i="1"/>
  <c r="AJ103" i="1" s="1"/>
  <c r="AI104" i="1"/>
  <c r="AJ104" i="1" s="1"/>
  <c r="AI105" i="1"/>
  <c r="AJ105" i="1" s="1"/>
  <c r="AI106" i="1"/>
  <c r="AJ106" i="1" s="1"/>
  <c r="AI107" i="1"/>
  <c r="AJ107" i="1" s="1"/>
  <c r="AI108" i="1"/>
  <c r="AJ108" i="1" s="1"/>
  <c r="AI109" i="1"/>
  <c r="AJ109" i="1" s="1"/>
  <c r="AI110" i="1"/>
  <c r="AJ110" i="1" s="1"/>
  <c r="AI111" i="1"/>
  <c r="AJ111" i="1" s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H10" i="2"/>
  <c r="AF10" i="2"/>
  <c r="AE10" i="2"/>
  <c r="H16" i="2"/>
  <c r="E16" i="2"/>
  <c r="F16" i="2" s="1"/>
  <c r="U10" i="2"/>
  <c r="R10" i="2"/>
  <c r="S10" i="2" s="1"/>
  <c r="H13" i="2"/>
  <c r="E13" i="2"/>
  <c r="F13" i="2" s="1"/>
  <c r="AU4" i="2"/>
  <c r="AR4" i="2"/>
  <c r="AS4" i="2" s="1"/>
  <c r="U4" i="2"/>
  <c r="R4" i="2"/>
  <c r="S4" i="2" s="1"/>
  <c r="AH4" i="2"/>
  <c r="AE4" i="2"/>
  <c r="AF4" i="2" s="1"/>
  <c r="AH7" i="2"/>
  <c r="AE7" i="2"/>
  <c r="AF7" i="2" s="1"/>
  <c r="R7" i="2"/>
  <c r="S7" i="2" s="1"/>
  <c r="U7" i="2"/>
  <c r="E4" i="2"/>
  <c r="F4" i="2" s="1"/>
  <c r="E7" i="2"/>
  <c r="F7" i="2" s="1"/>
  <c r="E10" i="2"/>
  <c r="F10" i="2" s="1"/>
  <c r="H10" i="2"/>
  <c r="H7" i="2"/>
  <c r="H4" i="2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F32" i="1"/>
  <c r="AB71" i="1"/>
  <c r="AP32" i="1"/>
  <c r="R32" i="1"/>
  <c r="Z64" i="1" a="1"/>
  <c r="AD32" i="1"/>
  <c r="AG33" i="1" s="1"/>
  <c r="AQ4" i="1"/>
  <c r="AE4" i="1"/>
  <c r="AF5" i="1" s="1"/>
  <c r="Z64" i="1" l="1"/>
  <c r="Z65" i="1" a="1"/>
  <c r="AL91" i="1"/>
  <c r="AL102" i="1"/>
  <c r="AL96" i="1"/>
  <c r="AL106" i="1"/>
  <c r="AL108" i="1"/>
  <c r="AL111" i="1"/>
  <c r="AL105" i="1"/>
  <c r="AL99" i="1"/>
  <c r="AL93" i="1"/>
  <c r="AL109" i="1"/>
  <c r="AL97" i="1"/>
  <c r="AL95" i="1"/>
  <c r="AL103" i="1"/>
  <c r="AL101" i="1"/>
  <c r="AL94" i="1"/>
  <c r="AL100" i="1"/>
  <c r="AL104" i="1"/>
  <c r="AL92" i="1"/>
  <c r="AL107" i="1"/>
  <c r="AL110" i="1"/>
  <c r="AL98" i="1"/>
  <c r="AT33" i="1"/>
  <c r="BC66" i="1" a="1"/>
  <c r="BC66" i="1" s="1"/>
  <c r="AR33" i="1"/>
  <c r="AQ33" i="1"/>
  <c r="AS33" i="1"/>
  <c r="AF33" i="1"/>
  <c r="AI5" i="1"/>
  <c r="AH5" i="1"/>
  <c r="AG5" i="1"/>
  <c r="AE33" i="1"/>
  <c r="AH33" i="1"/>
  <c r="Z65" i="1" l="1"/>
  <c r="AB68" i="1"/>
  <c r="BD6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<sst xmlns="http://schemas.openxmlformats.org/spreadsheetml/2006/main" count="505" uniqueCount="83">
  <si>
    <t>Hero Health Reduced</t>
  </si>
  <si>
    <t>Hero Attack Reduced</t>
  </si>
  <si>
    <t>Minion Health Reduced</t>
  </si>
  <si>
    <t>Minion Attack Reduced</t>
  </si>
  <si>
    <t>Minion Appeared</t>
  </si>
  <si>
    <t>Minion Killed</t>
  </si>
  <si>
    <t>Secret Removed</t>
  </si>
  <si>
    <t>Mana Reduced</t>
  </si>
  <si>
    <t>Minion Health</t>
  </si>
  <si>
    <t>Minion Attack</t>
  </si>
  <si>
    <t>Minion Has Charge</t>
  </si>
  <si>
    <t>Minion Has Deathrattle</t>
  </si>
  <si>
    <t>Minion Has Divine Shield</t>
  </si>
  <si>
    <t>Minion Has Inspire</t>
  </si>
  <si>
    <t>Minion Has Life Steal</t>
  </si>
  <si>
    <t>Minion Has Stealth</t>
  </si>
  <si>
    <t>Minion Has Taunt</t>
  </si>
  <si>
    <t>Minion Has Windfury</t>
  </si>
  <si>
    <t>Minion Has Poison</t>
  </si>
  <si>
    <t>Minion Rarity</t>
  </si>
  <si>
    <t>Minion Mana Cost</t>
  </si>
  <si>
    <t>NUM_GAMES</t>
  </si>
  <si>
    <t>POP_SIZE</t>
  </si>
  <si>
    <t>MAX_EVALUATIONS</t>
  </si>
  <si>
    <t>Max fitness</t>
  </si>
  <si>
    <t>Worst</t>
  </si>
  <si>
    <t>Best</t>
  </si>
  <si>
    <t>Median</t>
  </si>
  <si>
    <t>Average</t>
  </si>
  <si>
    <t>Std Dev</t>
  </si>
  <si>
    <t>Modified - 63 parameters</t>
  </si>
  <si>
    <t>Base - my runs</t>
  </si>
  <si>
    <t>Baseline results - from authors</t>
  </si>
  <si>
    <t>0.9622560353455828</t>
  </si>
  <si>
    <t xml:space="preserve"> 1</t>
  </si>
  <si>
    <t xml:space="preserve"> 0</t>
  </si>
  <si>
    <t xml:space="preserve"> 0.86147339157364</t>
  </si>
  <si>
    <t xml:space="preserve"> 0.5430266096979701</t>
  </si>
  <si>
    <t xml:space="preserve"> 0.17621606443353027</t>
  </si>
  <si>
    <t xml:space="preserve"> 0.4104209220994927</t>
  </si>
  <si>
    <t xml:space="preserve"> 0.9374832102214393</t>
  </si>
  <si>
    <t xml:space="preserve"> 0.29276559472066643</t>
  </si>
  <si>
    <t xml:space="preserve"> 0.01825896895584212</t>
  </si>
  <si>
    <t xml:space="preserve"> 0.28901297450699664</t>
  </si>
  <si>
    <t xml:space="preserve"> 0.6247405241351475</t>
  </si>
  <si>
    <t xml:space="preserve"> 0.2299751081125314</t>
  </si>
  <si>
    <t xml:space="preserve"> 0.7157675822536926</t>
  </si>
  <si>
    <t xml:space="preserve"> 0.44551237594442145</t>
  </si>
  <si>
    <t xml:space="preserve"> 0.7088354719260018</t>
  </si>
  <si>
    <t>Modified - 28 parameters</t>
  </si>
  <si>
    <t>PIRATE_SYNERGY</t>
  </si>
  <si>
    <t>JADE_PROGRESS</t>
  </si>
  <si>
    <t>OVERLOAD_ADDED</t>
  </si>
  <si>
    <t>SPELL_DAMAGE</t>
  </si>
  <si>
    <t>HAND_SIZE</t>
  </si>
  <si>
    <t>WEAPON_DURABILITY</t>
  </si>
  <si>
    <t xml:space="preserve"> 0.6247405241351475# 0# 0.2299751081125314# 0.7157675822536926# 0.44551237594442145# 0.7088354719260018# 1</t>
  </si>
  <si>
    <t>0.6247405241351475#0#0.2299751081125314#0.7157675822536926#0.44551237594442145#0.7088354719260018#1</t>
  </si>
  <si>
    <t>0-1</t>
  </si>
  <si>
    <t>-0.05 - 0.05</t>
  </si>
  <si>
    <t>DRAGONS_IN_HAND</t>
  </si>
  <si>
    <t>p1</t>
  </si>
  <si>
    <t>p2</t>
  </si>
  <si>
    <t>no. of battles</t>
  </si>
  <si>
    <t>p2 wins</t>
  </si>
  <si>
    <t>base-8-8-200</t>
  </si>
  <si>
    <t>63-8-8-200</t>
  </si>
  <si>
    <t>p1 wins</t>
  </si>
  <si>
    <t>deck</t>
  </si>
  <si>
    <t>all</t>
  </si>
  <si>
    <t>p1winrate</t>
  </si>
  <si>
    <t>p2winrate</t>
  </si>
  <si>
    <t>28-8-8-200</t>
  </si>
  <si>
    <t>base</t>
  </si>
  <si>
    <t>21d</t>
  </si>
  <si>
    <t>21d(base-weights)-8-8-200</t>
  </si>
  <si>
    <t>WinAvgTrn</t>
  </si>
  <si>
    <t>LoseAvgTrn</t>
  </si>
  <si>
    <t>WinAvgHlthDiff</t>
  </si>
  <si>
    <t>LoseAvgHlthDiff</t>
  </si>
  <si>
    <t>21Depth</t>
  </si>
  <si>
    <t>Modified - 63 smooth parameters</t>
  </si>
  <si>
    <t>0.5291725894726222, 0.9228443736388452, 0, 0, 1, 0.9774079789396308, 0.5226670747649357, 0.13107237590803, 1, 0.5734815136752034, 0.8209083262733134, 1, 0.7620141922210834, 0, 0.8469012784555581, 0.23343418754182105, 0.45135583992891476, 0, 0, 1, 1, 0.12295979875511272, 0.465669116967161, 0.30175819868029957, 0.11378512166218352, 0.7775612694509465, 0.08990749398937094, 0.24931721920255182, 1.549246383555104, 0.5035319414285794, 0.41846428824709475, 0.47776716811925884, 2.645896485985821, 0.4276462584401111, 1.3060298337084184, 0.7286895119148545, 0.10299851881059864, 0.5810672329521678, 1.3290385558975308, 0.418901931740738, 0.7709358489567526, 1.5149493746584235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</si>
</sst>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0" xfId="0" quotePrefix="1"/>
    <xf numFmtId="0" fontId="0" fillId="0" borderId="0" xfId="0" applyAlignment="1">
      <alignment horizontal="center"/>
    </xf>
    <xf numFmtId="166" fontId="0" fillId="0" borderId="0" xfId="0" applyNumberFormat="1"/>
    <xf numFmtId="166" fontId="0" fillId="0" borderId="1" xfId="0" applyNumberFormat="1" applyBorder="1"/>
    <xf numFmtId="166" fontId="0" fillId="2" borderId="1" xfId="0" applyNumberForma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D04C67-AC61-4BD0-85A3-8525BAE80EC2}" name="Table3" displayName="Table3" ref="AB3:AJ25" totalsRowShown="0">
  <autoFilter ref="AB3:AJ25" xr:uid="{44D04C67-AC61-4BD0-85A3-8525BAE80EC2}"/>
  <tableColumns count="9">
    <tableColumn id="1" xr3:uid="{37950EE3-A188-45D0-BB14-C58287B28296}" name="NUM_GAMES"/>
    <tableColumn id="2" xr3:uid="{C19E09AE-CB98-42C4-8D17-5EE11C8C5001}" name="POP_SIZE"/>
    <tableColumn id="3" xr3:uid="{C6CD5088-AE37-4CA1-B1A7-7D683E5A3C42}" name="MAX_EVALUATIONS"/>
    <tableColumn id="4" xr3:uid="{71606736-595B-452E-B806-F95D15F9B32F}" name="Max fitness">
      <calculatedColumnFormula>AB4*(2*AC4-1)*9</calculatedColumnFormula>
    </tableColumn>
    <tableColumn id="5" xr3:uid="{015B4A84-5904-4CA8-8B0B-392EE3BDF668}" name="Worst"/>
    <tableColumn id="6" xr3:uid="{F7931D4A-2B64-405C-A8B3-1FFF041640AF}" name="Best"/>
    <tableColumn id="7" xr3:uid="{B567C2C9-A65A-4399-914E-D883A974B30C}" name="Median"/>
    <tableColumn id="8" xr3:uid="{F7B6125C-101D-4138-9347-FC982B1BA02C}" name="Average"/>
    <tableColumn id="9" xr3:uid="{680A25EF-EFC8-470D-BA53-1BD0E8798D87}" name="Std Dev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3BDB72-3C50-4AF1-93DB-3AAC862F86F0}" name="Table36" displayName="Table36" ref="AN3:AV25" totalsRowShown="0">
  <autoFilter ref="AN3:AV25" xr:uid="{803BDB72-3C50-4AF1-93DB-3AAC862F86F0}"/>
  <tableColumns count="9">
    <tableColumn id="1" xr3:uid="{94E86A5B-CCFF-4C16-A6E6-CB5AD1C8D4FE}" name="NUM_GAMES"/>
    <tableColumn id="2" xr3:uid="{5E5525BD-0554-4DF0-A64A-8C9938C900C7}" name="POP_SIZE"/>
    <tableColumn id="3" xr3:uid="{41E912CF-1B84-4B51-9C34-A910E7F5FF95}" name="MAX_EVALUATIONS"/>
    <tableColumn id="4" xr3:uid="{ADCC5641-0C48-4296-BB6C-50EC2BD3DA73}" name="Max fitness">
      <calculatedColumnFormula>AN4*(2*AO4-1)*9</calculatedColumnFormula>
    </tableColumn>
    <tableColumn id="5" xr3:uid="{64A228F2-9967-47CC-AF50-D0FA627E9E96}" name="Worst"/>
    <tableColumn id="6" xr3:uid="{DA6ADEFB-ABF7-495F-B6B0-3A9FB287CD8A}" name="Best"/>
    <tableColumn id="7" xr3:uid="{5B3C5CFB-B34E-46CE-9D13-97DECDD52E28}" name="Median"/>
    <tableColumn id="8" xr3:uid="{83251AD5-E054-43CB-9537-B86A64104D1D}" name="Average"/>
    <tableColumn id="9" xr3:uid="{29B1F0FC-A089-466F-BD72-710011AE4CA8}" name="Std Dev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922936-8F22-4B9B-A8C9-0DD4353ECDA9}" name="Table367" displayName="Table367" ref="C31:K53" totalsRowShown="0">
  <autoFilter ref="C31:K53" xr:uid="{99922936-8F22-4B9B-A8C9-0DD4353ECDA9}"/>
  <tableColumns count="9">
    <tableColumn id="1" xr3:uid="{371674DC-EA33-4436-A342-84E7FAC4E1FD}" name="NUM_GAMES"/>
    <tableColumn id="2" xr3:uid="{1830F024-7C07-4002-BF00-06BA4668EDD3}" name="POP_SIZE"/>
    <tableColumn id="3" xr3:uid="{15F8379D-9DE8-4F26-BD26-0ADBE67EE693}" name="MAX_EVALUATIONS"/>
    <tableColumn id="4" xr3:uid="{4FD7DFD0-CA3A-4B88-B656-EF5CB86E81C8}" name="Max fitness">
      <calculatedColumnFormula>C32*(2*D32-1)*9</calculatedColumnFormula>
    </tableColumn>
    <tableColumn id="5" xr3:uid="{67049B6D-74F6-4148-943E-C37A53D5376C}" name="Worst"/>
    <tableColumn id="6" xr3:uid="{F856FAA5-7787-4420-AF24-302CE2722BED}" name="Best"/>
    <tableColumn id="7" xr3:uid="{F100FB45-BCE8-4E08-91FD-60AEDA5C6763}" name="Median"/>
    <tableColumn id="8" xr3:uid="{9D8D354D-B870-4F08-B796-1A18A7EAE037}" name="Average"/>
    <tableColumn id="9" xr3:uid="{4E4E011D-03D6-4520-BDA1-030A73B3E196}" name="Std Dev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828EE-F471-4108-91FD-7D16CCFE1A54}" name="Table32" displayName="Table32" ref="AA31:AI53" totalsRowShown="0">
  <autoFilter ref="AA31:AI53" xr:uid="{F18828EE-F471-4108-91FD-7D16CCFE1A54}"/>
  <tableColumns count="9">
    <tableColumn id="1" xr3:uid="{BEA79028-84A3-4B00-9FD6-A6671550AED8}" name="NUM_GAMES"/>
    <tableColumn id="2" xr3:uid="{B156FFC2-8134-4151-8242-D026092E6129}" name="POP_SIZE"/>
    <tableColumn id="3" xr3:uid="{6928792F-CF39-4E80-AAD9-6DA2914FB220}" name="MAX_EVALUATIONS"/>
    <tableColumn id="4" xr3:uid="{2538D7AD-C7A1-4664-BEBB-B543727B9075}" name="Max fitness"/>
    <tableColumn id="5" xr3:uid="{4FD533E9-C3DE-497C-8420-3EC0ED61DD1E}" name="Worst"/>
    <tableColumn id="6" xr3:uid="{F742F2DB-873B-4966-A5F5-C876C9EEB43F}" name="Best"/>
    <tableColumn id="7" xr3:uid="{8DBB8B78-1F63-42ED-BEF1-06A80E43FD8C}" name="Median"/>
    <tableColumn id="8" xr3:uid="{6611E894-5865-45C6-8411-3E6E04C1F12D}" name="Average"/>
    <tableColumn id="9" xr3:uid="{BAAF0839-633D-4A70-985F-EE2745FC790E}" name="Std Dev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C8E4D3-42DE-47E1-B7ED-B366D581560A}" name="Table363" displayName="Table363" ref="O31:W53" totalsRowShown="0">
  <autoFilter ref="O31:W53" xr:uid="{EDC8E4D3-42DE-47E1-B7ED-B366D581560A}"/>
  <tableColumns count="9">
    <tableColumn id="1" xr3:uid="{9B8662A4-E722-4A02-813F-57AC5B170AE8}" name="NUM_GAMES"/>
    <tableColumn id="2" xr3:uid="{9ACF3727-4721-4F9B-B5D9-F22DCE7A7DCA}" name="POP_SIZE"/>
    <tableColumn id="3" xr3:uid="{B792EF3C-0B74-4330-80E5-A0E8D61CE18D}" name="MAX_EVALUATIONS"/>
    <tableColumn id="4" xr3:uid="{AED658CE-7A21-4C43-B477-CBFD876854DB}" name="Max fitness">
      <calculatedColumnFormula>O32*(2*P32-1)*9</calculatedColumnFormula>
    </tableColumn>
    <tableColumn id="5" xr3:uid="{FAB6E56C-4598-4C43-A75D-1C7DFD75F343}" name="Worst"/>
    <tableColumn id="6" xr3:uid="{5A5411FF-49A6-41B7-BD9E-F65D9E199159}" name="Best"/>
    <tableColumn id="7" xr3:uid="{09B8F365-E0F5-4DD1-836F-4DFA8338C596}" name="Median"/>
    <tableColumn id="8" xr3:uid="{F9FD4A1C-B2D0-4897-99B0-3DD6512A1B34}" name="Average"/>
    <tableColumn id="9" xr3:uid="{01704407-5C20-4E33-92E7-3519DEEFFEAD}" name="Std Dev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842D54-DBAC-4E95-ADE1-C98038F283E1}" name="Table3810" displayName="Table3810" ref="AM31:AU60" totalsRowShown="0">
  <autoFilter ref="AM31:AU60" xr:uid="{26842D54-DBAC-4E95-ADE1-C98038F283E1}"/>
  <tableColumns count="9">
    <tableColumn id="1" xr3:uid="{83C9257C-32D5-4082-9A05-6D2EEC627C7F}" name="NUM_GAMES"/>
    <tableColumn id="2" xr3:uid="{CF6ECAA6-D95E-44FC-9B9C-2AAC8A1C8000}" name="POP_SIZE"/>
    <tableColumn id="3" xr3:uid="{39A62337-A38C-45FA-859A-D68F3459C2C1}" name="MAX_EVALUATIONS"/>
    <tableColumn id="4" xr3:uid="{C773C7C5-5818-4B76-BD93-A699AD8F8AFB}" name="Max fitness">
      <calculatedColumnFormula>AM32*(2*AN32-1)*9</calculatedColumnFormula>
    </tableColumn>
    <tableColumn id="5" xr3:uid="{299EC119-05F8-4189-BB60-5E4A33D30501}" name="Worst"/>
    <tableColumn id="6" xr3:uid="{9DE31C72-25D8-481C-82D1-803D6A4E8A72}" name="Best"/>
    <tableColumn id="7" xr3:uid="{6620A88C-C2D7-4FF7-98E7-9AED93849FC9}" name="Median"/>
    <tableColumn id="8" xr3:uid="{792E89B8-21BC-44E9-907B-769D6A9EBCAC}" name="Average"/>
    <tableColumn id="9" xr3:uid="{041F48A7-F306-44CD-8783-869FC8AFF2B5}" name="Std Dev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8DBE5A-09B4-4A41-A393-27A7D3670214}" name="Table3635" displayName="Table3635" ref="AY31:BG53" totalsRowShown="0">
  <autoFilter ref="AY31:BG53" xr:uid="{E68DBE5A-09B4-4A41-A393-27A7D3670214}"/>
  <tableColumns count="9">
    <tableColumn id="1" xr3:uid="{8B599BA2-CD5A-4C19-BB5D-2B63739A2AA2}" name="NUM_GAMES"/>
    <tableColumn id="2" xr3:uid="{ED282D3D-2DEE-4457-AF91-B8FE1F49983E}" name="POP_SIZE"/>
    <tableColumn id="3" xr3:uid="{838BBB78-F6EC-474E-BB45-38D2C3A5FAD6}" name="MAX_EVALUATIONS"/>
    <tableColumn id="4" xr3:uid="{A6FBD5B7-5592-4CF9-B9BD-CA32267F3A2C}" name="Max fitness">
      <calculatedColumnFormula>AY32*(2*AZ32-1)*9</calculatedColumnFormula>
    </tableColumn>
    <tableColumn id="5" xr3:uid="{C7222E6D-6EFD-40BC-B819-22CE79E56122}" name="Worst"/>
    <tableColumn id="6" xr3:uid="{0E504301-A457-4397-95D0-C3A0CE1AF46D}" name="Best"/>
    <tableColumn id="7" xr3:uid="{09943420-4C54-4351-8000-4A17B59C9788}" name="Median"/>
    <tableColumn id="8" xr3:uid="{A957F02A-515C-4B3F-BC05-09912BF62826}" name="Average"/>
    <tableColumn id="9" xr3:uid="{6083CD9C-CF92-495E-9C8F-EFD2CCBCCCBC}" name="Std Dev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0F4486-98A3-41AC-B4C6-E9106E348B77}" name="Table328" displayName="Table328" ref="BK31:BS53" totalsRowShown="0">
  <autoFilter ref="BK31:BS53" xr:uid="{3C0F4486-98A3-41AC-B4C6-E9106E348B77}"/>
  <tableColumns count="9">
    <tableColumn id="1" xr3:uid="{650DD372-06D7-49B6-8E22-EB9B3D8AE0CD}" name="NUM_GAMES"/>
    <tableColumn id="2" xr3:uid="{8ABDBBDE-B94E-4C9F-BBC5-C8B7092A68A0}" name="POP_SIZE"/>
    <tableColumn id="3" xr3:uid="{625F29BF-BD3E-4AF8-96F5-20887C3D83C5}" name="MAX_EVALUATIONS"/>
    <tableColumn id="4" xr3:uid="{2DDEB02F-2949-4D2E-819A-B320D56F87F7}" name="Max fitness"/>
    <tableColumn id="5" xr3:uid="{01F43C10-A960-446D-BE96-53D371D0B81B}" name="Worst"/>
    <tableColumn id="6" xr3:uid="{603434F1-6388-4188-B6AA-886AAB2E3DD6}" name="Best"/>
    <tableColumn id="7" xr3:uid="{D374DA81-2094-4AFC-9667-4D27AAE1714E}" name="Median"/>
    <tableColumn id="8" xr3:uid="{111426C2-0B54-456B-AC20-A827A8CD4AED}" name="Average"/>
    <tableColumn id="9" xr3:uid="{DDB5ED5C-DE23-4A11-9197-632304C32EDB}" name="Std Dev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6D9B-34F9-44C1-9C05-29B97EE9AFF1}">
  <dimension ref="A1:BS127"/>
  <sheetViews>
    <sheetView tabSelected="1" topLeftCell="K54" zoomScale="85" zoomScaleNormal="85" workbookViewId="0">
      <selection activeCell="Z63" sqref="Z63"/>
    </sheetView>
  </sheetViews>
  <sheetFormatPr defaultRowHeight="15" x14ac:dyDescent="0.25"/>
  <cols>
    <col min="2" max="2" width="5.7109375" customWidth="1"/>
    <col min="13" max="13" width="9.140625" customWidth="1"/>
    <col min="14" max="14" width="5.140625" customWidth="1"/>
    <col min="16" max="16" width="20.28515625" bestFit="1" customWidth="1"/>
    <col min="17" max="17" width="8.42578125" customWidth="1"/>
    <col min="18" max="18" width="8.5703125" customWidth="1"/>
    <col min="26" max="26" width="19.28515625" customWidth="1"/>
    <col min="27" max="27" width="7.28515625" customWidth="1"/>
    <col min="28" max="29" width="20.28515625" bestFit="1" customWidth="1"/>
    <col min="30" max="30" width="21.42578125" bestFit="1" customWidth="1"/>
    <col min="31" max="31" width="13.5703125" bestFit="1" customWidth="1"/>
    <col min="32" max="32" width="8.7109375" bestFit="1" customWidth="1"/>
    <col min="33" max="33" width="7.28515625" bestFit="1" customWidth="1"/>
    <col min="34" max="34" width="9.85546875" bestFit="1" customWidth="1"/>
    <col min="35" max="35" width="10.42578125" bestFit="1" customWidth="1"/>
    <col min="36" max="36" width="10.28515625" bestFit="1" customWidth="1"/>
    <col min="38" max="38" width="7.140625" customWidth="1"/>
    <col min="39" max="39" width="3.85546875" customWidth="1"/>
    <col min="40" max="40" width="20.28515625" bestFit="1" customWidth="1"/>
    <col min="41" max="41" width="11.7109375" bestFit="1" customWidth="1"/>
    <col min="42" max="42" width="20.7109375" bestFit="1" customWidth="1"/>
    <col min="43" max="43" width="13.5703125" bestFit="1" customWidth="1"/>
    <col min="44" max="44" width="8.7109375" bestFit="1" customWidth="1"/>
    <col min="45" max="45" width="7.28515625" bestFit="1" customWidth="1"/>
    <col min="46" max="46" width="9.85546875" bestFit="1" customWidth="1"/>
    <col min="47" max="47" width="10.42578125" bestFit="1" customWidth="1"/>
    <col min="48" max="48" width="10.28515625" bestFit="1" customWidth="1"/>
    <col min="50" max="50" width="23.140625" bestFit="1" customWidth="1"/>
    <col min="52" max="52" width="14.85546875" bestFit="1" customWidth="1"/>
    <col min="53" max="53" width="11.7109375" bestFit="1" customWidth="1"/>
    <col min="54" max="54" width="20.7109375" bestFit="1" customWidth="1"/>
    <col min="55" max="55" width="13.5703125" bestFit="1" customWidth="1"/>
    <col min="56" max="56" width="8.7109375" bestFit="1" customWidth="1"/>
    <col min="57" max="57" width="7.28515625" bestFit="1" customWidth="1"/>
    <col min="58" max="58" width="9.85546875" bestFit="1" customWidth="1"/>
    <col min="59" max="59" width="10.42578125" bestFit="1" customWidth="1"/>
    <col min="60" max="60" width="10.28515625" bestFit="1" customWidth="1"/>
    <col min="66" max="66" width="20.42578125" bestFit="1" customWidth="1"/>
  </cols>
  <sheetData>
    <row r="1" spans="26:48" hidden="1" x14ac:dyDescent="0.25">
      <c r="AB1" s="5" t="s">
        <v>30</v>
      </c>
      <c r="AC1" s="5"/>
      <c r="AD1" s="5"/>
      <c r="AE1" s="5"/>
      <c r="AF1" s="5"/>
      <c r="AG1" s="5"/>
      <c r="AH1" s="5"/>
      <c r="AI1" s="5"/>
      <c r="AJ1" s="5"/>
      <c r="AN1" s="5" t="s">
        <v>31</v>
      </c>
      <c r="AO1" s="5"/>
      <c r="AP1" s="5"/>
      <c r="AQ1" s="5"/>
      <c r="AR1" s="5"/>
      <c r="AS1" s="5"/>
      <c r="AT1" s="5"/>
      <c r="AU1" s="5"/>
      <c r="AV1" s="5"/>
    </row>
    <row r="2" spans="26:48" hidden="1" x14ac:dyDescent="0.25">
      <c r="AB2" s="5"/>
      <c r="AC2" s="5"/>
      <c r="AD2" s="5"/>
      <c r="AE2" s="5"/>
      <c r="AF2" s="5"/>
      <c r="AG2" s="5"/>
      <c r="AH2" s="5"/>
      <c r="AI2" s="5"/>
      <c r="AJ2" s="5"/>
      <c r="AN2" s="5"/>
      <c r="AO2" s="5"/>
      <c r="AP2" s="5"/>
      <c r="AQ2" s="5"/>
      <c r="AR2" s="5"/>
      <c r="AS2" s="5"/>
      <c r="AT2" s="5"/>
      <c r="AU2" s="5"/>
      <c r="AV2" s="5"/>
    </row>
    <row r="3" spans="26:48" hidden="1" x14ac:dyDescent="0.25">
      <c r="AB3" t="s">
        <v>21</v>
      </c>
      <c r="AC3" t="s">
        <v>22</v>
      </c>
      <c r="AD3" t="s">
        <v>23</v>
      </c>
      <c r="AE3" t="s">
        <v>24</v>
      </c>
      <c r="AF3" t="s">
        <v>25</v>
      </c>
      <c r="AG3" t="s">
        <v>26</v>
      </c>
      <c r="AH3" t="s">
        <v>27</v>
      </c>
      <c r="AI3" t="s">
        <v>28</v>
      </c>
      <c r="AJ3" t="s">
        <v>29</v>
      </c>
      <c r="AN3" t="s">
        <v>21</v>
      </c>
      <c r="AO3" t="s">
        <v>22</v>
      </c>
      <c r="AP3" t="s">
        <v>23</v>
      </c>
      <c r="AQ3" t="s">
        <v>24</v>
      </c>
      <c r="AR3" t="s">
        <v>25</v>
      </c>
      <c r="AS3" t="s">
        <v>26</v>
      </c>
      <c r="AT3" t="s">
        <v>27</v>
      </c>
      <c r="AU3" t="s">
        <v>28</v>
      </c>
      <c r="AV3" t="s">
        <v>29</v>
      </c>
    </row>
    <row r="4" spans="26:48" hidden="1" x14ac:dyDescent="0.25">
      <c r="AB4">
        <v>6</v>
      </c>
      <c r="AC4">
        <v>6</v>
      </c>
      <c r="AD4">
        <v>48</v>
      </c>
      <c r="AE4">
        <f>AB4*(2*AC4-1)*9</f>
        <v>594</v>
      </c>
      <c r="AF4">
        <v>320</v>
      </c>
      <c r="AG4">
        <v>399</v>
      </c>
      <c r="AH4">
        <v>330</v>
      </c>
      <c r="AI4">
        <v>343</v>
      </c>
      <c r="AJ4">
        <v>28.6</v>
      </c>
      <c r="AN4">
        <v>6</v>
      </c>
      <c r="AO4">
        <v>6</v>
      </c>
      <c r="AP4">
        <v>48</v>
      </c>
      <c r="AQ4">
        <f>AN4*(2*AO4-1)*9</f>
        <v>594</v>
      </c>
      <c r="AR4">
        <v>359</v>
      </c>
      <c r="AS4">
        <v>396</v>
      </c>
      <c r="AT4">
        <v>365</v>
      </c>
      <c r="AU4">
        <v>373</v>
      </c>
      <c r="AV4">
        <v>14</v>
      </c>
    </row>
    <row r="5" spans="26:48" hidden="1" x14ac:dyDescent="0.25">
      <c r="Z5" t="s">
        <v>0</v>
      </c>
      <c r="AA5">
        <v>1</v>
      </c>
      <c r="AB5">
        <v>9.2872286722634395E-2</v>
      </c>
      <c r="AC5">
        <v>1</v>
      </c>
      <c r="AD5">
        <v>0.47369136565456199</v>
      </c>
      <c r="AF5">
        <f>AF4/$AE$4</f>
        <v>0.53872053872053871</v>
      </c>
      <c r="AG5">
        <f>AG4/$AE$4</f>
        <v>0.67171717171717171</v>
      </c>
      <c r="AH5">
        <f>AH4/$AE$4</f>
        <v>0.55555555555555558</v>
      </c>
      <c r="AI5">
        <f>AI4/$AE$4</f>
        <v>0.57744107744107742</v>
      </c>
      <c r="AL5" t="s">
        <v>0</v>
      </c>
      <c r="AM5">
        <v>1</v>
      </c>
      <c r="AN5">
        <v>0.317548891935094</v>
      </c>
    </row>
    <row r="6" spans="26:48" hidden="1" x14ac:dyDescent="0.25">
      <c r="Z6" t="s">
        <v>1</v>
      </c>
      <c r="AA6">
        <v>2</v>
      </c>
      <c r="AB6">
        <v>0</v>
      </c>
      <c r="AC6">
        <v>0.38454559304522601</v>
      </c>
      <c r="AD6">
        <v>1</v>
      </c>
      <c r="AL6" t="s">
        <v>1</v>
      </c>
      <c r="AM6">
        <v>2</v>
      </c>
      <c r="AN6">
        <v>0.64751488956779002</v>
      </c>
    </row>
    <row r="7" spans="26:48" hidden="1" x14ac:dyDescent="0.25">
      <c r="Z7" t="s">
        <v>2</v>
      </c>
      <c r="AA7">
        <v>3</v>
      </c>
      <c r="AB7">
        <v>0.368088357722273</v>
      </c>
      <c r="AC7">
        <v>1</v>
      </c>
      <c r="AD7">
        <v>0</v>
      </c>
      <c r="AL7" t="s">
        <v>2</v>
      </c>
      <c r="AM7">
        <v>3</v>
      </c>
      <c r="AN7">
        <v>0</v>
      </c>
    </row>
    <row r="8" spans="26:48" hidden="1" x14ac:dyDescent="0.25">
      <c r="Z8" t="s">
        <v>3</v>
      </c>
      <c r="AA8">
        <v>4</v>
      </c>
      <c r="AB8">
        <v>0.225431907975331</v>
      </c>
      <c r="AC8">
        <v>1</v>
      </c>
      <c r="AD8">
        <v>0.168229352966864</v>
      </c>
      <c r="AL8" t="s">
        <v>3</v>
      </c>
      <c r="AM8">
        <v>4</v>
      </c>
      <c r="AN8">
        <v>0</v>
      </c>
    </row>
    <row r="9" spans="26:48" hidden="1" x14ac:dyDescent="0.25">
      <c r="Z9" t="s">
        <v>4</v>
      </c>
      <c r="AA9">
        <v>5</v>
      </c>
      <c r="AB9">
        <v>1</v>
      </c>
      <c r="AC9">
        <v>1</v>
      </c>
      <c r="AD9">
        <v>0.47213115083521601</v>
      </c>
      <c r="AL9" t="s">
        <v>4</v>
      </c>
      <c r="AM9">
        <v>5</v>
      </c>
      <c r="AN9">
        <v>0.69177404393543096</v>
      </c>
    </row>
    <row r="10" spans="26:48" hidden="1" x14ac:dyDescent="0.25">
      <c r="Z10" t="s">
        <v>5</v>
      </c>
      <c r="AA10">
        <v>6</v>
      </c>
      <c r="AB10">
        <v>0.742770523053774</v>
      </c>
      <c r="AC10">
        <v>0.88292302922912203</v>
      </c>
      <c r="AD10">
        <v>0.642929778392625</v>
      </c>
      <c r="AL10" t="s">
        <v>5</v>
      </c>
      <c r="AM10">
        <v>6</v>
      </c>
      <c r="AN10">
        <v>1</v>
      </c>
    </row>
    <row r="11" spans="26:48" hidden="1" x14ac:dyDescent="0.25">
      <c r="Z11" t="s">
        <v>6</v>
      </c>
      <c r="AA11">
        <v>7</v>
      </c>
      <c r="AB11">
        <v>1</v>
      </c>
      <c r="AC11">
        <v>1</v>
      </c>
      <c r="AD11">
        <v>0.38877236605538801</v>
      </c>
      <c r="AL11" t="s">
        <v>6</v>
      </c>
      <c r="AM11">
        <v>7</v>
      </c>
      <c r="AN11">
        <v>0</v>
      </c>
    </row>
    <row r="12" spans="26:48" hidden="1" x14ac:dyDescent="0.25">
      <c r="Z12" t="s">
        <v>7</v>
      </c>
      <c r="AA12">
        <v>8</v>
      </c>
      <c r="AB12">
        <v>0.26815544115863499</v>
      </c>
      <c r="AC12">
        <v>0.293708772736336</v>
      </c>
      <c r="AD12">
        <v>0.10808054278621</v>
      </c>
      <c r="AL12" t="s">
        <v>7</v>
      </c>
      <c r="AM12">
        <v>8</v>
      </c>
      <c r="AN12">
        <v>0</v>
      </c>
    </row>
    <row r="13" spans="26:48" hidden="1" x14ac:dyDescent="0.25">
      <c r="Z13" t="s">
        <v>8</v>
      </c>
      <c r="AA13">
        <v>9</v>
      </c>
      <c r="AB13">
        <v>0</v>
      </c>
      <c r="AC13">
        <v>0.83437972905337399</v>
      </c>
      <c r="AD13">
        <v>0.54211018601006</v>
      </c>
      <c r="AL13" t="s">
        <v>8</v>
      </c>
      <c r="AM13">
        <v>9</v>
      </c>
      <c r="AN13">
        <v>0.81279056249775605</v>
      </c>
    </row>
    <row r="14" spans="26:48" hidden="1" x14ac:dyDescent="0.25">
      <c r="Z14" t="s">
        <v>9</v>
      </c>
      <c r="AA14">
        <v>10</v>
      </c>
      <c r="AB14">
        <v>0.61506488553775396</v>
      </c>
      <c r="AC14">
        <v>0</v>
      </c>
      <c r="AD14">
        <v>0.52233813871724</v>
      </c>
      <c r="AL14" t="s">
        <v>9</v>
      </c>
      <c r="AM14">
        <v>10</v>
      </c>
      <c r="AN14">
        <v>0.20562552504095499</v>
      </c>
    </row>
    <row r="15" spans="26:48" hidden="1" x14ac:dyDescent="0.25">
      <c r="Z15" t="s">
        <v>10</v>
      </c>
      <c r="AA15">
        <v>11</v>
      </c>
      <c r="AB15">
        <v>0.82595673930796198</v>
      </c>
      <c r="AC15">
        <v>0</v>
      </c>
      <c r="AD15">
        <v>0</v>
      </c>
      <c r="AL15" t="s">
        <v>10</v>
      </c>
      <c r="AM15">
        <v>11</v>
      </c>
      <c r="AN15">
        <v>1</v>
      </c>
    </row>
    <row r="16" spans="26:48" hidden="1" x14ac:dyDescent="0.25">
      <c r="Z16" t="s">
        <v>11</v>
      </c>
      <c r="AA16">
        <v>12</v>
      </c>
      <c r="AB16">
        <v>1</v>
      </c>
      <c r="AC16">
        <v>1</v>
      </c>
      <c r="AD16">
        <v>0.53155028105659896</v>
      </c>
      <c r="AL16" t="s">
        <v>11</v>
      </c>
      <c r="AM16">
        <v>12</v>
      </c>
      <c r="AN16">
        <v>0.31668524131750803</v>
      </c>
    </row>
    <row r="17" spans="3:71" hidden="1" x14ac:dyDescent="0.25">
      <c r="Z17" t="s">
        <v>12</v>
      </c>
      <c r="AA17">
        <v>13</v>
      </c>
      <c r="AB17">
        <v>1</v>
      </c>
      <c r="AC17">
        <v>0</v>
      </c>
      <c r="AD17">
        <v>5.2149913767948697E-2</v>
      </c>
      <c r="AL17" t="s">
        <v>12</v>
      </c>
      <c r="AM17">
        <v>13</v>
      </c>
      <c r="AN17">
        <v>0.77530369419001599</v>
      </c>
    </row>
    <row r="18" spans="3:71" hidden="1" x14ac:dyDescent="0.25">
      <c r="Z18" t="s">
        <v>13</v>
      </c>
      <c r="AA18">
        <v>14</v>
      </c>
      <c r="AB18">
        <v>1</v>
      </c>
      <c r="AC18">
        <v>0.830118921284414</v>
      </c>
      <c r="AD18">
        <v>0</v>
      </c>
      <c r="AL18" t="s">
        <v>13</v>
      </c>
      <c r="AM18">
        <v>14</v>
      </c>
      <c r="AN18">
        <v>1</v>
      </c>
    </row>
    <row r="19" spans="3:71" hidden="1" x14ac:dyDescent="0.25">
      <c r="Z19" t="s">
        <v>14</v>
      </c>
      <c r="AA19">
        <v>15</v>
      </c>
      <c r="AB19">
        <v>0.90347083464223998</v>
      </c>
      <c r="AC19">
        <v>0.61614505749220605</v>
      </c>
      <c r="AD19">
        <v>0.877995312221027</v>
      </c>
      <c r="AL19" t="s">
        <v>14</v>
      </c>
      <c r="AM19">
        <v>15</v>
      </c>
      <c r="AN19">
        <v>1</v>
      </c>
    </row>
    <row r="20" spans="3:71" hidden="1" x14ac:dyDescent="0.25">
      <c r="Z20" t="s">
        <v>15</v>
      </c>
      <c r="AA20">
        <v>16</v>
      </c>
      <c r="AB20">
        <v>0</v>
      </c>
      <c r="AC20">
        <v>0.52651173313330801</v>
      </c>
      <c r="AD20">
        <v>0.51558395370429899</v>
      </c>
      <c r="AL20" t="s">
        <v>15</v>
      </c>
      <c r="AM20">
        <v>16</v>
      </c>
      <c r="AN20">
        <v>0</v>
      </c>
    </row>
    <row r="21" spans="3:71" hidden="1" x14ac:dyDescent="0.25">
      <c r="Z21" t="s">
        <v>16</v>
      </c>
      <c r="AA21">
        <v>17</v>
      </c>
      <c r="AB21">
        <v>1</v>
      </c>
      <c r="AC21">
        <v>0</v>
      </c>
      <c r="AD21">
        <v>0.29327208923339798</v>
      </c>
      <c r="AL21" t="s">
        <v>16</v>
      </c>
      <c r="AM21">
        <v>17</v>
      </c>
      <c r="AN21">
        <v>0</v>
      </c>
    </row>
    <row r="22" spans="3:71" hidden="1" x14ac:dyDescent="0.25">
      <c r="Z22" t="s">
        <v>17</v>
      </c>
      <c r="AA22">
        <v>18</v>
      </c>
      <c r="AB22">
        <v>1</v>
      </c>
      <c r="AC22">
        <v>1</v>
      </c>
      <c r="AD22">
        <v>1</v>
      </c>
      <c r="AL22" t="s">
        <v>17</v>
      </c>
      <c r="AM22">
        <v>18</v>
      </c>
      <c r="AN22">
        <v>0</v>
      </c>
    </row>
    <row r="23" spans="3:71" hidden="1" x14ac:dyDescent="0.25">
      <c r="Z23" t="s">
        <v>18</v>
      </c>
      <c r="AA23">
        <v>19</v>
      </c>
      <c r="AB23">
        <v>0.63546534655342302</v>
      </c>
      <c r="AC23">
        <v>0</v>
      </c>
      <c r="AD23">
        <v>0.70871684158454296</v>
      </c>
      <c r="AL23" t="s">
        <v>18</v>
      </c>
      <c r="AM23">
        <v>19</v>
      </c>
      <c r="AN23">
        <v>1</v>
      </c>
    </row>
    <row r="24" spans="3:71" hidden="1" x14ac:dyDescent="0.25">
      <c r="Z24" t="s">
        <v>19</v>
      </c>
      <c r="AA24">
        <v>20</v>
      </c>
      <c r="AB24">
        <v>1</v>
      </c>
      <c r="AC24">
        <v>1</v>
      </c>
      <c r="AD24">
        <v>1</v>
      </c>
      <c r="AL24" t="s">
        <v>19</v>
      </c>
      <c r="AM24">
        <v>20</v>
      </c>
      <c r="AN24">
        <v>4.1051186745478002E-2</v>
      </c>
    </row>
    <row r="25" spans="3:71" hidden="1" x14ac:dyDescent="0.25">
      <c r="Z25" t="s">
        <v>20</v>
      </c>
      <c r="AA25">
        <v>21</v>
      </c>
      <c r="AB25">
        <v>0.16263872118230699</v>
      </c>
      <c r="AC25">
        <v>1</v>
      </c>
      <c r="AD25">
        <v>0.34528641978740898</v>
      </c>
      <c r="AL25" t="s">
        <v>20</v>
      </c>
      <c r="AM25">
        <v>21</v>
      </c>
      <c r="AN25">
        <v>0.79065162811592204</v>
      </c>
    </row>
    <row r="26" spans="3:71" hidden="1" x14ac:dyDescent="0.25"/>
    <row r="27" spans="3:71" hidden="1" x14ac:dyDescent="0.25"/>
    <row r="28" spans="3:71" hidden="1" x14ac:dyDescent="0.25"/>
    <row r="29" spans="3:71" x14ac:dyDescent="0.25">
      <c r="C29" s="5" t="s">
        <v>32</v>
      </c>
      <c r="D29" s="5"/>
      <c r="E29" s="5"/>
      <c r="F29" s="5"/>
      <c r="G29" s="5"/>
      <c r="H29" s="5"/>
      <c r="I29" s="5"/>
      <c r="J29" s="5"/>
      <c r="K29" s="5"/>
      <c r="O29" s="5" t="s">
        <v>31</v>
      </c>
      <c r="P29" s="5"/>
      <c r="Q29" s="5"/>
      <c r="R29" s="5"/>
      <c r="S29" s="5"/>
      <c r="T29" s="5"/>
      <c r="U29" s="5"/>
      <c r="V29" s="5"/>
      <c r="W29" s="5"/>
      <c r="AA29" s="5" t="s">
        <v>30</v>
      </c>
      <c r="AB29" s="5"/>
      <c r="AC29" s="5"/>
      <c r="AD29" s="5"/>
      <c r="AE29" s="5"/>
      <c r="AF29" s="5"/>
      <c r="AG29" s="5"/>
      <c r="AH29" s="5"/>
      <c r="AI29" s="5"/>
      <c r="AM29" s="5" t="s">
        <v>49</v>
      </c>
      <c r="AN29" s="5"/>
      <c r="AO29" s="5"/>
      <c r="AP29" s="5"/>
      <c r="AQ29" s="5"/>
      <c r="AR29" s="5"/>
      <c r="AS29" s="5"/>
      <c r="AT29" s="5"/>
      <c r="AU29" s="5"/>
      <c r="AY29" s="5" t="s">
        <v>80</v>
      </c>
      <c r="AZ29" s="5"/>
      <c r="BA29" s="5"/>
      <c r="BB29" s="5"/>
      <c r="BC29" s="5"/>
      <c r="BD29" s="5"/>
      <c r="BE29" s="5"/>
      <c r="BF29" s="5"/>
      <c r="BG29" s="5"/>
      <c r="BK29" s="5" t="s">
        <v>81</v>
      </c>
      <c r="BL29" s="5"/>
      <c r="BM29" s="5"/>
      <c r="BN29" s="5"/>
      <c r="BO29" s="5"/>
      <c r="BP29" s="5"/>
      <c r="BQ29" s="5"/>
      <c r="BR29" s="5"/>
      <c r="BS29" s="5"/>
    </row>
    <row r="30" spans="3:71" x14ac:dyDescent="0.25">
      <c r="C30" s="5"/>
      <c r="D30" s="5"/>
      <c r="E30" s="5"/>
      <c r="F30" s="5"/>
      <c r="G30" s="5"/>
      <c r="H30" s="5"/>
      <c r="I30" s="5"/>
      <c r="J30" s="5"/>
      <c r="K30" s="5"/>
      <c r="O30" s="5"/>
      <c r="P30" s="5"/>
      <c r="Q30" s="5"/>
      <c r="R30" s="5"/>
      <c r="S30" s="5"/>
      <c r="T30" s="5"/>
      <c r="U30" s="5"/>
      <c r="V30" s="5"/>
      <c r="W30" s="5"/>
      <c r="AA30" s="5"/>
      <c r="AB30" s="5"/>
      <c r="AC30" s="5"/>
      <c r="AD30" s="5"/>
      <c r="AE30" s="5"/>
      <c r="AF30" s="5"/>
      <c r="AG30" s="5"/>
      <c r="AH30" s="5"/>
      <c r="AI30" s="5"/>
      <c r="AM30" s="5"/>
      <c r="AN30" s="5"/>
      <c r="AO30" s="5"/>
      <c r="AP30" s="5"/>
      <c r="AQ30" s="5"/>
      <c r="AR30" s="5"/>
      <c r="AS30" s="5"/>
      <c r="AT30" s="5"/>
      <c r="AU30" s="5"/>
      <c r="AY30" s="5"/>
      <c r="AZ30" s="5"/>
      <c r="BA30" s="5"/>
      <c r="BB30" s="5"/>
      <c r="BC30" s="5"/>
      <c r="BD30" s="5"/>
      <c r="BE30" s="5"/>
      <c r="BF30" s="5"/>
      <c r="BG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3:71" x14ac:dyDescent="0.25"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 t="s">
        <v>29</v>
      </c>
      <c r="O31" t="s">
        <v>21</v>
      </c>
      <c r="P31" t="s">
        <v>22</v>
      </c>
      <c r="Q31" t="s">
        <v>23</v>
      </c>
      <c r="R31" t="s">
        <v>24</v>
      </c>
      <c r="S31" t="s">
        <v>25</v>
      </c>
      <c r="T31" t="s">
        <v>26</v>
      </c>
      <c r="U31" t="s">
        <v>27</v>
      </c>
      <c r="V31" t="s">
        <v>28</v>
      </c>
      <c r="W31" t="s">
        <v>29</v>
      </c>
      <c r="AA31" t="s">
        <v>21</v>
      </c>
      <c r="AB31" t="s">
        <v>22</v>
      </c>
      <c r="AC31" t="s">
        <v>23</v>
      </c>
      <c r="AD31" t="s">
        <v>24</v>
      </c>
      <c r="AE31" t="s">
        <v>25</v>
      </c>
      <c r="AF31" t="s">
        <v>26</v>
      </c>
      <c r="AG31" t="s">
        <v>27</v>
      </c>
      <c r="AH31" t="s">
        <v>28</v>
      </c>
      <c r="AI31" t="s">
        <v>29</v>
      </c>
      <c r="AM31" t="s">
        <v>21</v>
      </c>
      <c r="AN31" t="s">
        <v>22</v>
      </c>
      <c r="AO31" t="s">
        <v>23</v>
      </c>
      <c r="AP31" t="s">
        <v>24</v>
      </c>
      <c r="AQ31" t="s">
        <v>25</v>
      </c>
      <c r="AR31" t="s">
        <v>26</v>
      </c>
      <c r="AS31" t="s">
        <v>27</v>
      </c>
      <c r="AT31" t="s">
        <v>28</v>
      </c>
      <c r="AU31" t="s">
        <v>29</v>
      </c>
      <c r="AY31" t="s">
        <v>21</v>
      </c>
      <c r="AZ31" t="s">
        <v>22</v>
      </c>
      <c r="BA31" t="s">
        <v>23</v>
      </c>
      <c r="BB31" t="s">
        <v>24</v>
      </c>
      <c r="BC31" t="s">
        <v>25</v>
      </c>
      <c r="BD31" t="s">
        <v>26</v>
      </c>
      <c r="BE31" t="s">
        <v>27</v>
      </c>
      <c r="BF31" t="s">
        <v>28</v>
      </c>
      <c r="BG31" t="s">
        <v>29</v>
      </c>
      <c r="BK31" t="s">
        <v>21</v>
      </c>
      <c r="BL31" t="s">
        <v>22</v>
      </c>
      <c r="BM31" t="s">
        <v>23</v>
      </c>
      <c r="BN31" t="s">
        <v>24</v>
      </c>
      <c r="BO31" t="s">
        <v>25</v>
      </c>
      <c r="BP31" t="s">
        <v>26</v>
      </c>
      <c r="BQ31" t="s">
        <v>27</v>
      </c>
      <c r="BR31" t="s">
        <v>28</v>
      </c>
      <c r="BS31" t="s">
        <v>29</v>
      </c>
    </row>
    <row r="32" spans="3:71" x14ac:dyDescent="0.25">
      <c r="C32">
        <v>20</v>
      </c>
      <c r="D32">
        <v>10</v>
      </c>
      <c r="E32">
        <v>1000</v>
      </c>
      <c r="F32">
        <f>C32*(2*D32-1)*9</f>
        <v>3420</v>
      </c>
      <c r="O32">
        <v>8</v>
      </c>
      <c r="P32">
        <v>8</v>
      </c>
      <c r="Q32">
        <v>200</v>
      </c>
      <c r="R32">
        <f>O32*(2*P32-1)*9</f>
        <v>1080</v>
      </c>
      <c r="S32">
        <v>552</v>
      </c>
      <c r="T32">
        <v>597</v>
      </c>
      <c r="U32">
        <v>566</v>
      </c>
      <c r="V32">
        <v>570</v>
      </c>
      <c r="W32">
        <v>14</v>
      </c>
      <c r="AA32">
        <v>8</v>
      </c>
      <c r="AB32">
        <v>8</v>
      </c>
      <c r="AC32">
        <v>200</v>
      </c>
      <c r="AD32">
        <f>AA32*(2*AB32-1)*9</f>
        <v>1080</v>
      </c>
      <c r="AE32">
        <v>639</v>
      </c>
      <c r="AF32">
        <v>697</v>
      </c>
      <c r="AG32">
        <v>679</v>
      </c>
      <c r="AH32">
        <v>675</v>
      </c>
      <c r="AI32">
        <v>19</v>
      </c>
      <c r="AM32">
        <v>8</v>
      </c>
      <c r="AN32">
        <v>8</v>
      </c>
      <c r="AO32">
        <v>200</v>
      </c>
      <c r="AP32">
        <f>AM32*(2*AN32-1)*9</f>
        <v>1080</v>
      </c>
      <c r="AQ32">
        <v>320</v>
      </c>
      <c r="AR32">
        <v>399</v>
      </c>
      <c r="AS32">
        <v>330</v>
      </c>
      <c r="AT32">
        <v>343</v>
      </c>
      <c r="AU32">
        <v>28.6</v>
      </c>
      <c r="AY32">
        <v>8</v>
      </c>
      <c r="AZ32">
        <v>8</v>
      </c>
      <c r="BA32">
        <v>200</v>
      </c>
      <c r="BB32">
        <f>AY32*(2*AZ32-1)*9</f>
        <v>1080</v>
      </c>
      <c r="BC32">
        <v>654</v>
      </c>
      <c r="BD32">
        <v>684</v>
      </c>
      <c r="BE32">
        <v>668</v>
      </c>
      <c r="BF32">
        <v>667</v>
      </c>
      <c r="BG32">
        <v>9.4</v>
      </c>
      <c r="BK32">
        <v>8</v>
      </c>
      <c r="BL32">
        <v>8</v>
      </c>
      <c r="BM32">
        <v>200</v>
      </c>
      <c r="BN32">
        <f>BK32*(2*BL32-1)*9</f>
        <v>1080</v>
      </c>
    </row>
    <row r="33" spans="1:70" x14ac:dyDescent="0.25">
      <c r="A33" t="s">
        <v>0</v>
      </c>
      <c r="B33">
        <v>1</v>
      </c>
      <c r="C33">
        <v>0.33831719711374802</v>
      </c>
      <c r="M33" t="s">
        <v>0</v>
      </c>
      <c r="N33">
        <v>1</v>
      </c>
      <c r="O33">
        <v>0.46481172050390501</v>
      </c>
      <c r="Y33" t="s">
        <v>0</v>
      </c>
      <c r="Z33">
        <v>1</v>
      </c>
      <c r="AA33">
        <v>0</v>
      </c>
      <c r="AB33">
        <v>0.19198247655645401</v>
      </c>
      <c r="AC33">
        <v>0.49100855530030002</v>
      </c>
      <c r="AE33">
        <f>AE32/$AD$32</f>
        <v>0.59166666666666667</v>
      </c>
      <c r="AF33">
        <f>AF32/$AD$32</f>
        <v>0.64537037037037037</v>
      </c>
      <c r="AG33">
        <f>AG32/$AD$32</f>
        <v>0.62870370370370365</v>
      </c>
      <c r="AH33">
        <f>AH32/$AD$32</f>
        <v>0.625</v>
      </c>
      <c r="AK33" t="s">
        <v>0</v>
      </c>
      <c r="AL33">
        <v>1</v>
      </c>
      <c r="AM33" t="s">
        <v>33</v>
      </c>
      <c r="AQ33">
        <f>AQ32/$AE$4</f>
        <v>0.53872053872053871</v>
      </c>
      <c r="AR33">
        <f>AR32/$AE$4</f>
        <v>0.67171717171717171</v>
      </c>
      <c r="AS33">
        <f>AS32/$AE$4</f>
        <v>0.55555555555555558</v>
      </c>
      <c r="AT33">
        <f>AT32/$AE$4</f>
        <v>0.57744107744107742</v>
      </c>
      <c r="AW33" t="s">
        <v>0</v>
      </c>
      <c r="AX33">
        <v>1</v>
      </c>
      <c r="AY33" s="9">
        <v>0.52917258947262202</v>
      </c>
      <c r="BI33" t="s">
        <v>0</v>
      </c>
      <c r="BJ33">
        <v>1</v>
      </c>
      <c r="BK33" s="9">
        <v>0</v>
      </c>
      <c r="BL33" s="9">
        <v>0.114832988446315</v>
      </c>
      <c r="BM33" s="9">
        <v>0.581138459994056</v>
      </c>
      <c r="BO33">
        <f>BO32/$AD$32</f>
        <v>0</v>
      </c>
      <c r="BP33">
        <f>BP32/$AD$32</f>
        <v>0</v>
      </c>
      <c r="BQ33">
        <f>BQ32/$AD$32</f>
        <v>0</v>
      </c>
      <c r="BR33">
        <f>BR32/$AD$32</f>
        <v>0</v>
      </c>
    </row>
    <row r="34" spans="1:70" x14ac:dyDescent="0.25">
      <c r="A34" t="s">
        <v>1</v>
      </c>
      <c r="B34">
        <v>2</v>
      </c>
      <c r="C34">
        <v>0.93466713178917704</v>
      </c>
      <c r="M34" t="s">
        <v>1</v>
      </c>
      <c r="N34">
        <v>2</v>
      </c>
      <c r="O34">
        <v>0.95701014128878603</v>
      </c>
      <c r="Y34" t="s">
        <v>1</v>
      </c>
      <c r="Z34">
        <v>2</v>
      </c>
      <c r="AA34">
        <v>0.838073450710207</v>
      </c>
      <c r="AB34">
        <v>0.55211593477965504</v>
      </c>
      <c r="AC34">
        <v>1</v>
      </c>
      <c r="AK34" t="s">
        <v>1</v>
      </c>
      <c r="AL34">
        <v>2</v>
      </c>
      <c r="AM34" t="s">
        <v>34</v>
      </c>
      <c r="AW34" t="s">
        <v>1</v>
      </c>
      <c r="AX34">
        <v>2</v>
      </c>
      <c r="AY34" s="9">
        <v>0.92284437363884497</v>
      </c>
      <c r="BI34" t="s">
        <v>1</v>
      </c>
      <c r="BJ34">
        <v>2</v>
      </c>
      <c r="BK34" s="9">
        <v>0</v>
      </c>
      <c r="BL34" s="9">
        <v>0.86303892577018204</v>
      </c>
      <c r="BM34" s="9">
        <v>1</v>
      </c>
    </row>
    <row r="35" spans="1:70" x14ac:dyDescent="0.25">
      <c r="A35" t="s">
        <v>2</v>
      </c>
      <c r="B35">
        <v>3</v>
      </c>
      <c r="C35">
        <v>9.3176192652155904E-2</v>
      </c>
      <c r="M35" t="s">
        <v>2</v>
      </c>
      <c r="N35">
        <v>3</v>
      </c>
      <c r="O35">
        <v>4.0338325912406797E-2</v>
      </c>
      <c r="Y35" t="s">
        <v>2</v>
      </c>
      <c r="Z35">
        <v>3</v>
      </c>
      <c r="AA35">
        <v>0.36941805210713202</v>
      </c>
      <c r="AB35">
        <v>0.31587989147309198</v>
      </c>
      <c r="AC35">
        <v>0</v>
      </c>
      <c r="AK35" t="s">
        <v>2</v>
      </c>
      <c r="AL35">
        <v>3</v>
      </c>
      <c r="AM35" t="s">
        <v>35</v>
      </c>
      <c r="AW35" t="s">
        <v>2</v>
      </c>
      <c r="AX35">
        <v>3</v>
      </c>
      <c r="AY35" s="9">
        <v>0</v>
      </c>
      <c r="BI35" t="s">
        <v>2</v>
      </c>
      <c r="BJ35">
        <v>3</v>
      </c>
      <c r="BK35" s="9">
        <v>0.85761480959659397</v>
      </c>
      <c r="BL35" s="9">
        <v>0</v>
      </c>
      <c r="BM35" s="9">
        <v>0</v>
      </c>
    </row>
    <row r="36" spans="1:70" x14ac:dyDescent="0.25">
      <c r="A36" t="s">
        <v>3</v>
      </c>
      <c r="B36">
        <v>4</v>
      </c>
      <c r="C36">
        <v>0</v>
      </c>
      <c r="M36" t="s">
        <v>3</v>
      </c>
      <c r="N36">
        <v>4</v>
      </c>
      <c r="O36">
        <v>0.677012620405402</v>
      </c>
      <c r="Y36" t="s">
        <v>3</v>
      </c>
      <c r="Z36">
        <v>4</v>
      </c>
      <c r="AA36">
        <v>0.772175920311859</v>
      </c>
      <c r="AB36">
        <v>1</v>
      </c>
      <c r="AC36">
        <v>0.58455943867066595</v>
      </c>
      <c r="AK36" t="s">
        <v>3</v>
      </c>
      <c r="AL36">
        <v>4</v>
      </c>
      <c r="AM36" t="s">
        <v>35</v>
      </c>
      <c r="AW36" t="s">
        <v>3</v>
      </c>
      <c r="AX36">
        <v>4</v>
      </c>
      <c r="AY36" s="9">
        <v>0</v>
      </c>
      <c r="BI36" t="s">
        <v>3</v>
      </c>
      <c r="BJ36">
        <v>4</v>
      </c>
      <c r="BK36" s="9">
        <v>0.30482747536752502</v>
      </c>
      <c r="BL36" s="9">
        <v>1</v>
      </c>
      <c r="BM36" s="9">
        <v>0</v>
      </c>
    </row>
    <row r="37" spans="1:70" x14ac:dyDescent="0.25">
      <c r="A37" t="s">
        <v>4</v>
      </c>
      <c r="B37">
        <v>5</v>
      </c>
      <c r="C37">
        <v>0.75109902463000799</v>
      </c>
      <c r="M37" t="s">
        <v>4</v>
      </c>
      <c r="N37">
        <v>5</v>
      </c>
      <c r="O37">
        <v>0.33208831368657299</v>
      </c>
      <c r="Y37" t="s">
        <v>4</v>
      </c>
      <c r="Z37">
        <v>5</v>
      </c>
      <c r="AA37">
        <v>0.61234593074099897</v>
      </c>
      <c r="AB37">
        <v>0.73213136938490797</v>
      </c>
      <c r="AC37">
        <v>0.92934986309094703</v>
      </c>
      <c r="AK37" t="s">
        <v>4</v>
      </c>
      <c r="AL37">
        <v>5</v>
      </c>
      <c r="AM37" t="s">
        <v>34</v>
      </c>
      <c r="AW37" t="s">
        <v>4</v>
      </c>
      <c r="AX37">
        <v>5</v>
      </c>
      <c r="AY37" s="9">
        <v>1</v>
      </c>
      <c r="BI37" t="s">
        <v>4</v>
      </c>
      <c r="BJ37">
        <v>5</v>
      </c>
      <c r="BK37" s="9">
        <v>0.50086525368714996</v>
      </c>
      <c r="BL37" s="9">
        <v>0.94643849703765404</v>
      </c>
      <c r="BM37" s="9">
        <v>0.74319238569438595</v>
      </c>
    </row>
    <row r="38" spans="1:70" x14ac:dyDescent="0.25">
      <c r="A38" t="s">
        <v>5</v>
      </c>
      <c r="B38">
        <v>6</v>
      </c>
      <c r="C38">
        <v>1</v>
      </c>
      <c r="M38" t="s">
        <v>5</v>
      </c>
      <c r="N38">
        <v>6</v>
      </c>
      <c r="O38">
        <v>0.59926490401127697</v>
      </c>
      <c r="Y38" t="s">
        <v>5</v>
      </c>
      <c r="Z38">
        <v>6</v>
      </c>
      <c r="AA38">
        <v>0</v>
      </c>
      <c r="AB38">
        <v>0.87278090936615105</v>
      </c>
      <c r="AC38">
        <v>0.54118926815228496</v>
      </c>
      <c r="AK38" t="s">
        <v>5</v>
      </c>
      <c r="AL38">
        <v>6</v>
      </c>
      <c r="AM38" t="s">
        <v>34</v>
      </c>
      <c r="AW38" t="s">
        <v>5</v>
      </c>
      <c r="AX38">
        <v>6</v>
      </c>
      <c r="AY38" s="9">
        <v>0.97740797893963005</v>
      </c>
      <c r="BI38" t="s">
        <v>5</v>
      </c>
      <c r="BJ38">
        <v>6</v>
      </c>
      <c r="BK38" s="9">
        <v>1</v>
      </c>
      <c r="BL38" s="9">
        <v>0.304882748524759</v>
      </c>
      <c r="BM38" s="9">
        <v>0.97896711546406301</v>
      </c>
    </row>
    <row r="39" spans="1:70" x14ac:dyDescent="0.25">
      <c r="A39" t="s">
        <v>6</v>
      </c>
      <c r="B39">
        <v>7</v>
      </c>
      <c r="C39">
        <v>0.96184788633787499</v>
      </c>
      <c r="M39" t="s">
        <v>6</v>
      </c>
      <c r="N39">
        <v>7</v>
      </c>
      <c r="O39">
        <v>0</v>
      </c>
      <c r="Y39" t="s">
        <v>6</v>
      </c>
      <c r="Z39">
        <v>7</v>
      </c>
      <c r="AA39">
        <v>1</v>
      </c>
      <c r="AB39">
        <v>0.628300921357689</v>
      </c>
      <c r="AC39">
        <v>1</v>
      </c>
      <c r="AK39" t="s">
        <v>6</v>
      </c>
      <c r="AL39">
        <v>7</v>
      </c>
      <c r="AM39" t="s">
        <v>34</v>
      </c>
      <c r="AW39" t="s">
        <v>6</v>
      </c>
      <c r="AX39">
        <v>7</v>
      </c>
      <c r="AY39" s="9">
        <v>0.52266707476493501</v>
      </c>
      <c r="BI39" t="s">
        <v>6</v>
      </c>
      <c r="BJ39">
        <v>7</v>
      </c>
      <c r="BK39" s="9">
        <v>1</v>
      </c>
      <c r="BL39" s="9">
        <v>0</v>
      </c>
      <c r="BM39" s="9">
        <v>1</v>
      </c>
    </row>
    <row r="40" spans="1:70" x14ac:dyDescent="0.25">
      <c r="A40" t="s">
        <v>7</v>
      </c>
      <c r="B40">
        <v>8</v>
      </c>
      <c r="C40">
        <v>0</v>
      </c>
      <c r="M40" t="s">
        <v>7</v>
      </c>
      <c r="N40">
        <v>8</v>
      </c>
      <c r="O40">
        <v>0</v>
      </c>
      <c r="Y40" t="s">
        <v>7</v>
      </c>
      <c r="Z40">
        <v>8</v>
      </c>
      <c r="AA40">
        <v>0.27929680791088402</v>
      </c>
      <c r="AB40">
        <v>0.61444571634723699</v>
      </c>
      <c r="AC40">
        <v>0</v>
      </c>
      <c r="AK40" t="s">
        <v>7</v>
      </c>
      <c r="AL40">
        <v>8</v>
      </c>
      <c r="AM40" t="s">
        <v>35</v>
      </c>
      <c r="AW40" t="s">
        <v>7</v>
      </c>
      <c r="AX40">
        <v>8</v>
      </c>
      <c r="AY40" s="9">
        <v>0.13107237590803</v>
      </c>
      <c r="BI40" t="s">
        <v>7</v>
      </c>
      <c r="BJ40">
        <v>8</v>
      </c>
      <c r="BK40" s="9">
        <v>0.916507242496029</v>
      </c>
      <c r="BL40" s="9">
        <v>0</v>
      </c>
      <c r="BM40" s="9">
        <v>7.8890667701741399E-2</v>
      </c>
    </row>
    <row r="41" spans="1:70" x14ac:dyDescent="0.25">
      <c r="A41" t="s">
        <v>8</v>
      </c>
      <c r="B41">
        <v>9</v>
      </c>
      <c r="C41">
        <v>1</v>
      </c>
      <c r="M41" t="s">
        <v>8</v>
      </c>
      <c r="N41">
        <v>9</v>
      </c>
      <c r="O41">
        <v>1</v>
      </c>
      <c r="Y41" t="s">
        <v>8</v>
      </c>
      <c r="Z41">
        <v>9</v>
      </c>
      <c r="AA41">
        <v>1</v>
      </c>
      <c r="AB41">
        <v>1</v>
      </c>
      <c r="AC41">
        <v>0</v>
      </c>
      <c r="AK41" t="s">
        <v>8</v>
      </c>
      <c r="AL41">
        <v>9</v>
      </c>
      <c r="AM41" t="s">
        <v>36</v>
      </c>
      <c r="AW41" t="s">
        <v>8</v>
      </c>
      <c r="AX41">
        <v>9</v>
      </c>
      <c r="AY41" s="9">
        <v>1</v>
      </c>
      <c r="BI41" t="s">
        <v>8</v>
      </c>
      <c r="BJ41">
        <v>9</v>
      </c>
      <c r="BK41" s="9">
        <v>1</v>
      </c>
      <c r="BL41" s="9">
        <v>1</v>
      </c>
      <c r="BM41" s="9">
        <v>0.88928967711126505</v>
      </c>
    </row>
    <row r="42" spans="1:70" x14ac:dyDescent="0.25">
      <c r="A42" t="s">
        <v>9</v>
      </c>
      <c r="B42">
        <v>10</v>
      </c>
      <c r="C42">
        <v>0.55293794800527796</v>
      </c>
      <c r="M42" t="s">
        <v>9</v>
      </c>
      <c r="N42">
        <v>10</v>
      </c>
      <c r="O42">
        <v>1</v>
      </c>
      <c r="Y42" t="s">
        <v>9</v>
      </c>
      <c r="Z42">
        <v>10</v>
      </c>
      <c r="AA42">
        <v>3.9908815338230499E-2</v>
      </c>
      <c r="AB42">
        <v>0.75212734630880296</v>
      </c>
      <c r="AC42">
        <v>0.97891183984548202</v>
      </c>
      <c r="AK42" t="s">
        <v>9</v>
      </c>
      <c r="AL42">
        <v>10</v>
      </c>
      <c r="AM42" t="s">
        <v>34</v>
      </c>
      <c r="AW42" t="s">
        <v>9</v>
      </c>
      <c r="AX42">
        <v>10</v>
      </c>
      <c r="AY42" s="9">
        <v>0.57348151367520295</v>
      </c>
      <c r="BI42" t="s">
        <v>9</v>
      </c>
      <c r="BJ42">
        <v>10</v>
      </c>
      <c r="BK42" s="9">
        <v>0.24970868755494699</v>
      </c>
      <c r="BL42" s="9">
        <v>0</v>
      </c>
      <c r="BM42" s="9">
        <v>1</v>
      </c>
    </row>
    <row r="43" spans="1:70" x14ac:dyDescent="0.25">
      <c r="A43" t="s">
        <v>10</v>
      </c>
      <c r="B43">
        <v>11</v>
      </c>
      <c r="C43">
        <v>0.59671345821399002</v>
      </c>
      <c r="M43" t="s">
        <v>10</v>
      </c>
      <c r="N43">
        <v>11</v>
      </c>
      <c r="O43">
        <v>1</v>
      </c>
      <c r="Y43" t="s">
        <v>10</v>
      </c>
      <c r="Z43">
        <v>11</v>
      </c>
      <c r="AA43">
        <v>0.93716941113188901</v>
      </c>
      <c r="AB43">
        <v>0.80085905871032503</v>
      </c>
      <c r="AC43">
        <v>0.70836181684858202</v>
      </c>
      <c r="AK43" t="s">
        <v>10</v>
      </c>
      <c r="AL43">
        <v>11</v>
      </c>
      <c r="AM43" t="s">
        <v>37</v>
      </c>
      <c r="AW43" t="s">
        <v>10</v>
      </c>
      <c r="AX43">
        <v>11</v>
      </c>
      <c r="AY43" s="9">
        <v>0.820908326273313</v>
      </c>
      <c r="BI43" t="s">
        <v>10</v>
      </c>
      <c r="BJ43">
        <v>11</v>
      </c>
      <c r="BK43" s="9">
        <v>1</v>
      </c>
      <c r="BL43" s="9">
        <v>0.62032796441280602</v>
      </c>
      <c r="BM43" s="9">
        <v>0</v>
      </c>
    </row>
    <row r="44" spans="1:70" x14ac:dyDescent="0.25">
      <c r="A44" t="s">
        <v>11</v>
      </c>
      <c r="B44">
        <v>12</v>
      </c>
      <c r="C44">
        <v>0</v>
      </c>
      <c r="M44" t="s">
        <v>11</v>
      </c>
      <c r="N44">
        <v>12</v>
      </c>
      <c r="O44">
        <v>9.11049655758914E-2</v>
      </c>
      <c r="Y44" t="s">
        <v>11</v>
      </c>
      <c r="Z44">
        <v>12</v>
      </c>
      <c r="AA44">
        <v>1</v>
      </c>
      <c r="AB44">
        <v>0.80573120255910602</v>
      </c>
      <c r="AC44">
        <v>1</v>
      </c>
      <c r="AK44" t="s">
        <v>11</v>
      </c>
      <c r="AL44">
        <v>12</v>
      </c>
      <c r="AM44" t="s">
        <v>34</v>
      </c>
      <c r="AW44" t="s">
        <v>11</v>
      </c>
      <c r="AX44">
        <v>12</v>
      </c>
      <c r="AY44" s="9">
        <v>1</v>
      </c>
      <c r="BI44" t="s">
        <v>11</v>
      </c>
      <c r="BJ44">
        <v>12</v>
      </c>
      <c r="BK44" s="9">
        <v>1</v>
      </c>
      <c r="BL44" s="9">
        <v>1</v>
      </c>
      <c r="BM44" s="9">
        <v>0.84872678213693797</v>
      </c>
    </row>
    <row r="45" spans="1:70" x14ac:dyDescent="0.25">
      <c r="A45" t="s">
        <v>12</v>
      </c>
      <c r="B45">
        <v>13</v>
      </c>
      <c r="C45">
        <v>1</v>
      </c>
      <c r="M45" t="s">
        <v>12</v>
      </c>
      <c r="N45">
        <v>13</v>
      </c>
      <c r="O45">
        <v>0.68448470799606498</v>
      </c>
      <c r="Y45" t="s">
        <v>12</v>
      </c>
      <c r="Z45">
        <v>13</v>
      </c>
      <c r="AA45">
        <v>0.62226011233405598</v>
      </c>
      <c r="AB45">
        <v>0.24495123880841299</v>
      </c>
      <c r="AC45">
        <v>0.182623231124625</v>
      </c>
      <c r="AK45" t="s">
        <v>12</v>
      </c>
      <c r="AL45">
        <v>13</v>
      </c>
      <c r="AM45" t="s">
        <v>35</v>
      </c>
      <c r="AW45" t="s">
        <v>12</v>
      </c>
      <c r="AX45">
        <v>13</v>
      </c>
      <c r="AY45" s="9">
        <v>0.76201419222108302</v>
      </c>
      <c r="BI45" t="s">
        <v>12</v>
      </c>
      <c r="BJ45">
        <v>13</v>
      </c>
      <c r="BK45" s="9">
        <v>0.60625163136688898</v>
      </c>
      <c r="BL45" s="9">
        <v>0.49628552854067398</v>
      </c>
      <c r="BM45" s="9">
        <v>1</v>
      </c>
    </row>
    <row r="46" spans="1:70" x14ac:dyDescent="0.25">
      <c r="A46" t="s">
        <v>13</v>
      </c>
      <c r="B46">
        <v>14</v>
      </c>
      <c r="C46">
        <v>0</v>
      </c>
      <c r="M46" t="s">
        <v>13</v>
      </c>
      <c r="N46">
        <v>14</v>
      </c>
      <c r="O46">
        <v>0.36973830370102601</v>
      </c>
      <c r="Y46" t="s">
        <v>13</v>
      </c>
      <c r="Z46">
        <v>14</v>
      </c>
      <c r="AA46">
        <v>0</v>
      </c>
      <c r="AB46">
        <v>0.70386338941854298</v>
      </c>
      <c r="AC46">
        <v>1.9490828755630799E-2</v>
      </c>
      <c r="AK46" t="s">
        <v>13</v>
      </c>
      <c r="AL46">
        <v>14</v>
      </c>
      <c r="AM46" t="s">
        <v>38</v>
      </c>
      <c r="AW46" t="s">
        <v>13</v>
      </c>
      <c r="AX46">
        <v>14</v>
      </c>
      <c r="AY46" s="9">
        <v>0</v>
      </c>
      <c r="BI46" t="s">
        <v>13</v>
      </c>
      <c r="BJ46">
        <v>14</v>
      </c>
      <c r="BK46" s="9">
        <v>0.64975467251118102</v>
      </c>
      <c r="BL46" s="9">
        <v>0.34259655069996298</v>
      </c>
      <c r="BM46" s="9">
        <v>0.103113849332451</v>
      </c>
    </row>
    <row r="47" spans="1:70" x14ac:dyDescent="0.25">
      <c r="A47" t="s">
        <v>14</v>
      </c>
      <c r="B47">
        <v>15</v>
      </c>
      <c r="C47">
        <v>0</v>
      </c>
      <c r="M47" t="s">
        <v>14</v>
      </c>
      <c r="N47">
        <v>15</v>
      </c>
      <c r="O47">
        <v>0.32305280199563302</v>
      </c>
      <c r="Y47" t="s">
        <v>14</v>
      </c>
      <c r="Z47">
        <v>15</v>
      </c>
      <c r="AA47">
        <v>0.55344351954543602</v>
      </c>
      <c r="AB47">
        <v>0.45825830752039998</v>
      </c>
      <c r="AC47">
        <v>1</v>
      </c>
      <c r="AK47" t="s">
        <v>14</v>
      </c>
      <c r="AL47">
        <v>15</v>
      </c>
      <c r="AM47" t="s">
        <v>34</v>
      </c>
      <c r="AW47" t="s">
        <v>14</v>
      </c>
      <c r="AX47">
        <v>15</v>
      </c>
      <c r="AY47" s="9">
        <v>0.84690127845555796</v>
      </c>
      <c r="BI47" t="s">
        <v>14</v>
      </c>
      <c r="BJ47">
        <v>15</v>
      </c>
      <c r="BK47" s="9">
        <v>0</v>
      </c>
      <c r="BL47" s="9">
        <v>0.37906839630412897</v>
      </c>
      <c r="BM47" s="9">
        <v>0.52095966699030705</v>
      </c>
    </row>
    <row r="48" spans="1:70" x14ac:dyDescent="0.25">
      <c r="A48" t="s">
        <v>15</v>
      </c>
      <c r="B48">
        <v>16</v>
      </c>
      <c r="C48">
        <v>1</v>
      </c>
      <c r="M48" t="s">
        <v>15</v>
      </c>
      <c r="N48">
        <v>16</v>
      </c>
      <c r="O48">
        <v>1</v>
      </c>
      <c r="Y48" t="s">
        <v>15</v>
      </c>
      <c r="Z48">
        <v>16</v>
      </c>
      <c r="AA48">
        <v>0.78854921023547897</v>
      </c>
      <c r="AB48">
        <v>0.452925121989114</v>
      </c>
      <c r="AC48">
        <v>0.44366458342977</v>
      </c>
      <c r="AK48" t="s">
        <v>15</v>
      </c>
      <c r="AL48">
        <v>16</v>
      </c>
      <c r="AM48" t="s">
        <v>39</v>
      </c>
      <c r="AW48" t="s">
        <v>15</v>
      </c>
      <c r="AX48">
        <v>16</v>
      </c>
      <c r="AY48" s="9">
        <v>0.23343418754182099</v>
      </c>
      <c r="BI48" t="s">
        <v>15</v>
      </c>
      <c r="BJ48">
        <v>16</v>
      </c>
      <c r="BK48" s="9">
        <v>0</v>
      </c>
      <c r="BL48" s="9">
        <v>0.254200149513231</v>
      </c>
      <c r="BM48" s="9">
        <v>0.31773392917848797</v>
      </c>
    </row>
    <row r="49" spans="1:67" x14ac:dyDescent="0.25">
      <c r="A49" t="s">
        <v>16</v>
      </c>
      <c r="B49">
        <v>17</v>
      </c>
      <c r="C49">
        <v>0</v>
      </c>
      <c r="M49" t="s">
        <v>16</v>
      </c>
      <c r="N49">
        <v>17</v>
      </c>
      <c r="O49">
        <v>0.19364469472391199</v>
      </c>
      <c r="Y49" t="s">
        <v>16</v>
      </c>
      <c r="Z49">
        <v>17</v>
      </c>
      <c r="AA49">
        <v>0.34360099288912299</v>
      </c>
      <c r="AB49">
        <v>6.6812968295917305E-2</v>
      </c>
      <c r="AC49">
        <v>0.63047058128913402</v>
      </c>
      <c r="AK49" t="s">
        <v>16</v>
      </c>
      <c r="AL49">
        <v>17</v>
      </c>
      <c r="AM49" t="s">
        <v>40</v>
      </c>
      <c r="AW49" t="s">
        <v>16</v>
      </c>
      <c r="AX49">
        <v>17</v>
      </c>
      <c r="AY49" s="9">
        <v>0.45135583992891398</v>
      </c>
      <c r="BI49" t="s">
        <v>16</v>
      </c>
      <c r="BJ49">
        <v>17</v>
      </c>
      <c r="BK49" s="9">
        <v>0.30508707987030698</v>
      </c>
      <c r="BL49" s="9">
        <v>0.64222195584889297</v>
      </c>
      <c r="BM49" s="9">
        <v>0.23478270492143399</v>
      </c>
    </row>
    <row r="50" spans="1:67" x14ac:dyDescent="0.25">
      <c r="A50" t="s">
        <v>17</v>
      </c>
      <c r="B50">
        <v>18</v>
      </c>
      <c r="C50">
        <v>2.1401265694797498E-3</v>
      </c>
      <c r="M50" t="s">
        <v>17</v>
      </c>
      <c r="N50">
        <v>18</v>
      </c>
      <c r="O50">
        <v>1</v>
      </c>
      <c r="Y50" t="s">
        <v>17</v>
      </c>
      <c r="Z50">
        <v>18</v>
      </c>
      <c r="AA50">
        <v>0</v>
      </c>
      <c r="AB50">
        <v>0.80502004336037103</v>
      </c>
      <c r="AC50">
        <v>1</v>
      </c>
      <c r="AK50" t="s">
        <v>17</v>
      </c>
      <c r="AL50">
        <v>18</v>
      </c>
      <c r="AM50" t="s">
        <v>34</v>
      </c>
      <c r="AW50" t="s">
        <v>17</v>
      </c>
      <c r="AX50">
        <v>18</v>
      </c>
      <c r="AY50" s="9">
        <v>0</v>
      </c>
      <c r="BI50" t="s">
        <v>17</v>
      </c>
      <c r="BJ50">
        <v>18</v>
      </c>
      <c r="BK50" s="9">
        <v>0.68878835275962802</v>
      </c>
      <c r="BL50" s="9">
        <v>0.21061743622562101</v>
      </c>
      <c r="BM50" s="9">
        <v>0</v>
      </c>
    </row>
    <row r="51" spans="1:67" x14ac:dyDescent="0.25">
      <c r="A51" t="s">
        <v>18</v>
      </c>
      <c r="B51">
        <v>19</v>
      </c>
      <c r="C51">
        <v>0.37166843346534201</v>
      </c>
      <c r="M51" t="s">
        <v>18</v>
      </c>
      <c r="N51">
        <v>19</v>
      </c>
      <c r="O51">
        <v>0.249525822645707</v>
      </c>
      <c r="Y51" t="s">
        <v>18</v>
      </c>
      <c r="Z51">
        <v>19</v>
      </c>
      <c r="AA51">
        <v>0.34378680064676098</v>
      </c>
      <c r="AB51">
        <v>0.64401180746632103</v>
      </c>
      <c r="AC51">
        <v>0</v>
      </c>
      <c r="AK51" t="s">
        <v>18</v>
      </c>
      <c r="AL51">
        <v>19</v>
      </c>
      <c r="AM51" t="s">
        <v>41</v>
      </c>
      <c r="AW51" t="s">
        <v>18</v>
      </c>
      <c r="AX51">
        <v>19</v>
      </c>
      <c r="AY51" s="9">
        <v>0</v>
      </c>
      <c r="BI51" t="s">
        <v>18</v>
      </c>
      <c r="BJ51">
        <v>19</v>
      </c>
      <c r="BK51" s="9">
        <v>1</v>
      </c>
      <c r="BL51" s="9">
        <v>0</v>
      </c>
      <c r="BM51" s="9">
        <v>0.75412405376004099</v>
      </c>
    </row>
    <row r="52" spans="1:67" x14ac:dyDescent="0.25">
      <c r="A52" t="s">
        <v>19</v>
      </c>
      <c r="B52">
        <v>20</v>
      </c>
      <c r="C52">
        <v>0.16946907320228299</v>
      </c>
      <c r="M52" t="s">
        <v>19</v>
      </c>
      <c r="N52">
        <v>20</v>
      </c>
      <c r="O52">
        <v>0.35093652141041798</v>
      </c>
      <c r="Y52" t="s">
        <v>19</v>
      </c>
      <c r="Z52">
        <v>20</v>
      </c>
      <c r="AA52">
        <v>1</v>
      </c>
      <c r="AB52">
        <v>0.49353034105205401</v>
      </c>
      <c r="AC52">
        <v>1</v>
      </c>
      <c r="AK52" t="s">
        <v>19</v>
      </c>
      <c r="AL52">
        <v>20</v>
      </c>
      <c r="AM52" t="s">
        <v>42</v>
      </c>
      <c r="AW52" t="s">
        <v>19</v>
      </c>
      <c r="AX52">
        <v>20</v>
      </c>
      <c r="AY52" s="9">
        <v>1</v>
      </c>
      <c r="BI52" t="s">
        <v>19</v>
      </c>
      <c r="BJ52">
        <v>20</v>
      </c>
      <c r="BK52" s="9">
        <v>1</v>
      </c>
      <c r="BL52" s="9">
        <v>1</v>
      </c>
      <c r="BM52" s="9">
        <v>0.64994460810477395</v>
      </c>
    </row>
    <row r="53" spans="1:67" x14ac:dyDescent="0.25">
      <c r="A53" t="s">
        <v>20</v>
      </c>
      <c r="B53">
        <v>21</v>
      </c>
      <c r="C53">
        <v>0</v>
      </c>
      <c r="M53" t="s">
        <v>20</v>
      </c>
      <c r="N53">
        <v>21</v>
      </c>
      <c r="O53">
        <v>1</v>
      </c>
      <c r="Y53" t="s">
        <v>20</v>
      </c>
      <c r="Z53">
        <v>21</v>
      </c>
      <c r="AA53">
        <v>1</v>
      </c>
      <c r="AB53">
        <v>0.67642988188158204</v>
      </c>
      <c r="AC53">
        <v>0.48637135820387001</v>
      </c>
      <c r="AK53" t="s">
        <v>20</v>
      </c>
      <c r="AL53">
        <v>21</v>
      </c>
      <c r="AM53" t="s">
        <v>43</v>
      </c>
      <c r="AW53" t="s">
        <v>20</v>
      </c>
      <c r="AX53">
        <v>21</v>
      </c>
      <c r="AY53" s="9">
        <v>1</v>
      </c>
      <c r="BI53" t="s">
        <v>20</v>
      </c>
      <c r="BJ53">
        <v>21</v>
      </c>
      <c r="BK53" s="9">
        <v>0.44565073540623901</v>
      </c>
      <c r="BL53" s="9">
        <v>0.13534969073210701</v>
      </c>
      <c r="BM53" s="9">
        <v>0.52321983791479398</v>
      </c>
    </row>
    <row r="54" spans="1:67" x14ac:dyDescent="0.25">
      <c r="AK54" t="s">
        <v>55</v>
      </c>
      <c r="AL54">
        <v>22</v>
      </c>
      <c r="AM54" t="s">
        <v>44</v>
      </c>
    </row>
    <row r="55" spans="1:67" x14ac:dyDescent="0.25">
      <c r="AK55" t="s">
        <v>54</v>
      </c>
      <c r="AL55">
        <v>23</v>
      </c>
      <c r="AM55" t="s">
        <v>35</v>
      </c>
    </row>
    <row r="56" spans="1:67" x14ac:dyDescent="0.25">
      <c r="AK56" t="s">
        <v>53</v>
      </c>
      <c r="AL56">
        <v>24</v>
      </c>
      <c r="AM56" t="s">
        <v>45</v>
      </c>
    </row>
    <row r="57" spans="1:67" x14ac:dyDescent="0.25">
      <c r="AK57" t="s">
        <v>52</v>
      </c>
      <c r="AL57">
        <v>25</v>
      </c>
      <c r="AM57" t="s">
        <v>46</v>
      </c>
      <c r="AN57" s="1"/>
      <c r="AO57" s="1"/>
      <c r="AP57" s="1"/>
      <c r="AQ57" s="1"/>
      <c r="AR57" s="1"/>
      <c r="AS57" s="1"/>
      <c r="AT57" s="1"/>
      <c r="AU57" s="1"/>
    </row>
    <row r="58" spans="1:67" x14ac:dyDescent="0.25">
      <c r="AK58" t="s">
        <v>60</v>
      </c>
      <c r="AL58">
        <v>26</v>
      </c>
      <c r="AM58" t="s">
        <v>47</v>
      </c>
      <c r="AN58" s="1"/>
      <c r="AO58" s="1"/>
      <c r="AP58" s="1"/>
      <c r="AQ58" s="1"/>
      <c r="AR58" s="1"/>
      <c r="AS58" s="1"/>
      <c r="AT58" s="1"/>
      <c r="AU58" s="1"/>
    </row>
    <row r="59" spans="1:67" x14ac:dyDescent="0.25">
      <c r="AK59" t="s">
        <v>51</v>
      </c>
      <c r="AL59">
        <v>27</v>
      </c>
      <c r="AM59" t="s">
        <v>48</v>
      </c>
    </row>
    <row r="60" spans="1:67" x14ac:dyDescent="0.25">
      <c r="AK60" t="s">
        <v>50</v>
      </c>
      <c r="AL60">
        <v>28</v>
      </c>
      <c r="AM60" t="s">
        <v>34</v>
      </c>
    </row>
    <row r="63" spans="1:67" x14ac:dyDescent="0.25">
      <c r="Z63" t="s">
        <v>82</v>
      </c>
    </row>
    <row r="64" spans="1:67" x14ac:dyDescent="0.25">
      <c r="Z64" t="str" cm="1">
        <f t="array" ref="Z64:BO64">_xlfn.TEXTSPLIT(Z63,",")</f>
        <v>0.5291725894726222</v>
      </c>
      <c r="AA64" t="str">
        <v xml:space="preserve"> 0.9228443736388452</v>
      </c>
      <c r="AB64" t="str">
        <v xml:space="preserve"> 0</v>
      </c>
      <c r="AC64" t="str">
        <v xml:space="preserve"> 0</v>
      </c>
      <c r="AD64" t="str">
        <v xml:space="preserve"> 1</v>
      </c>
      <c r="AE64" t="str">
        <v xml:space="preserve"> 0.9774079789396308</v>
      </c>
      <c r="AF64" t="str">
        <v xml:space="preserve"> 0.5226670747649357</v>
      </c>
      <c r="AG64" t="str">
        <v xml:space="preserve"> 0.13107237590803</v>
      </c>
      <c r="AH64" t="str">
        <v xml:space="preserve"> 1</v>
      </c>
      <c r="AI64" t="str">
        <v xml:space="preserve"> 0.5734815136752034</v>
      </c>
      <c r="AJ64" t="str">
        <v xml:space="preserve"> 0.8209083262733134</v>
      </c>
      <c r="AK64" t="str">
        <v xml:space="preserve"> 1</v>
      </c>
      <c r="AL64" t="str">
        <v xml:space="preserve"> 0.7620141922210834</v>
      </c>
      <c r="AM64" t="str">
        <v xml:space="preserve"> 0</v>
      </c>
      <c r="AN64" t="str">
        <v xml:space="preserve"> 0.8469012784555581</v>
      </c>
      <c r="AO64" t="str">
        <v xml:space="preserve"> 0.23343418754182105</v>
      </c>
      <c r="AP64" t="str">
        <v xml:space="preserve"> 0.45135583992891476</v>
      </c>
      <c r="AQ64" t="str">
        <v xml:space="preserve"> 0</v>
      </c>
      <c r="AR64" t="str">
        <v xml:space="preserve"> 0</v>
      </c>
      <c r="AS64" t="str">
        <v xml:space="preserve"> 1</v>
      </c>
      <c r="AT64" t="str">
        <v xml:space="preserve"> 1</v>
      </c>
      <c r="AU64" t="str">
        <v xml:space="preserve"> 0.12295979875511272</v>
      </c>
      <c r="AV64" t="str">
        <v xml:space="preserve"> 0.465669116967161</v>
      </c>
      <c r="AW64" t="str">
        <v xml:space="preserve"> 0.30175819868029957</v>
      </c>
      <c r="AX64" t="str">
        <v xml:space="preserve"> 0.11378512166218352</v>
      </c>
      <c r="AY64" t="str">
        <v xml:space="preserve"> 0.7775612694509465</v>
      </c>
      <c r="AZ64" t="str">
        <v xml:space="preserve"> 0.08990749398937094</v>
      </c>
      <c r="BA64" t="str">
        <v xml:space="preserve"> 0.24931721920255182</v>
      </c>
      <c r="BB64" t="str">
        <v xml:space="preserve"> 1.549246383555104</v>
      </c>
      <c r="BC64" t="str">
        <v xml:space="preserve"> 0.5035319414285794</v>
      </c>
      <c r="BD64" t="str">
        <v xml:space="preserve"> 0.41846428824709475</v>
      </c>
      <c r="BE64" t="str">
        <v xml:space="preserve"> 0.47776716811925884</v>
      </c>
      <c r="BF64" t="str">
        <v xml:space="preserve"> 2.645896485985821</v>
      </c>
      <c r="BG64" t="str">
        <v xml:space="preserve"> 0.4276462584401111</v>
      </c>
      <c r="BH64" t="str">
        <v xml:space="preserve"> 1.3060298337084184</v>
      </c>
      <c r="BI64" t="str">
        <v xml:space="preserve"> 0.7286895119148545</v>
      </c>
      <c r="BJ64" t="str">
        <v xml:space="preserve"> 0.10299851881059864</v>
      </c>
      <c r="BK64" t="str">
        <v xml:space="preserve"> 0.5810672329521678</v>
      </c>
      <c r="BL64" t="str">
        <v xml:space="preserve"> 1.3290385558975308</v>
      </c>
      <c r="BM64" t="str">
        <v xml:space="preserve"> 0.418901931740738</v>
      </c>
      <c r="BN64" t="str">
        <v xml:space="preserve"> 0.7709358489567526</v>
      </c>
      <c r="BO64" t="str">
        <v xml:space="preserve"> 1.5149493746584235</v>
      </c>
    </row>
    <row r="65" spans="25:56" x14ac:dyDescent="0.25">
      <c r="Y65">
        <v>1</v>
      </c>
      <c r="Z65" s="3" t="str" cm="1">
        <f t="array" ref="Z65:Z106">TRANSPOSE(_xlfn.ANCHORARRAY(Z64))</f>
        <v>0.5291725894726222</v>
      </c>
    </row>
    <row r="66" spans="25:56" x14ac:dyDescent="0.25">
      <c r="Y66">
        <v>2</v>
      </c>
      <c r="Z66" s="2" t="str">
        <v xml:space="preserve"> 0.9228443736388452</v>
      </c>
      <c r="AZ66" s="3">
        <v>0.33831719711374802</v>
      </c>
      <c r="BA66" s="3">
        <v>0.96225603534558202</v>
      </c>
      <c r="BB66">
        <f>AZ66-BA66</f>
        <v>-0.62393883823183405</v>
      </c>
      <c r="BC66" cm="1">
        <f t="array" ref="BC66:BC86">ABS(BB66:BB86)</f>
        <v>0.62393883823183405</v>
      </c>
      <c r="BD66">
        <f>SUM(_xlfn.ANCHORARRAY(BC66))</f>
        <v>7.9290406405481404</v>
      </c>
    </row>
    <row r="67" spans="25:56" x14ac:dyDescent="0.25">
      <c r="Y67">
        <v>3</v>
      </c>
      <c r="Z67" s="3" t="str">
        <v xml:space="preserve"> 0</v>
      </c>
      <c r="AZ67" s="2">
        <v>0.93466713178917704</v>
      </c>
      <c r="BA67" s="2" t="s">
        <v>34</v>
      </c>
      <c r="BB67">
        <f t="shared" ref="BB67:BB86" si="0">AZ67-BA67</f>
        <v>-6.5332868210822959E-2</v>
      </c>
      <c r="BC67">
        <v>6.5332868210822959E-2</v>
      </c>
    </row>
    <row r="68" spans="25:56" x14ac:dyDescent="0.25">
      <c r="Y68">
        <v>4</v>
      </c>
      <c r="Z68" s="2" t="str">
        <v xml:space="preserve"> 0</v>
      </c>
      <c r="AB68" t="str">
        <f>_xlfn.TEXTJOIN("#",FALSE,Z86:Z92)</f>
        <v xml:space="preserve"> 0.12295979875511272# 0.465669116967161# 0.30175819868029957# 0.11378512166218352# 0.7775612694509465# 0.08990749398937094# 0.24931721920255182</v>
      </c>
      <c r="AZ68" s="3">
        <v>9.3176192652155904E-2</v>
      </c>
      <c r="BA68" s="3" t="s">
        <v>35</v>
      </c>
      <c r="BB68">
        <f t="shared" si="0"/>
        <v>9.3176192652155904E-2</v>
      </c>
      <c r="BC68">
        <v>9.3176192652155904E-2</v>
      </c>
    </row>
    <row r="69" spans="25:56" x14ac:dyDescent="0.25">
      <c r="Y69">
        <v>5</v>
      </c>
      <c r="Z69" s="3" t="str">
        <v xml:space="preserve"> 1</v>
      </c>
      <c r="AZ69" s="2">
        <v>0</v>
      </c>
      <c r="BA69" s="2" t="s">
        <v>35</v>
      </c>
      <c r="BB69">
        <f t="shared" si="0"/>
        <v>0</v>
      </c>
      <c r="BC69">
        <v>0</v>
      </c>
    </row>
    <row r="70" spans="25:56" x14ac:dyDescent="0.25">
      <c r="Y70">
        <v>6</v>
      </c>
      <c r="Z70" s="2" t="str">
        <v xml:space="preserve"> 0.9774079789396308</v>
      </c>
      <c r="AB70" t="s">
        <v>56</v>
      </c>
      <c r="AZ70" s="3">
        <v>0.75109902463000799</v>
      </c>
      <c r="BA70" s="3" t="s">
        <v>34</v>
      </c>
      <c r="BB70">
        <f t="shared" si="0"/>
        <v>-0.24890097536999201</v>
      </c>
      <c r="BC70">
        <v>0.24890097536999201</v>
      </c>
    </row>
    <row r="71" spans="25:56" x14ac:dyDescent="0.25">
      <c r="Y71">
        <v>7</v>
      </c>
      <c r="Z71" s="3" t="str">
        <v xml:space="preserve"> 0.5226670747649357</v>
      </c>
      <c r="AB71" t="str">
        <f>_xlfn.REGEXREPLACE(AB70," ",,)</f>
        <v>0.6247405241351475#0#0.2299751081125314#0.7157675822536926#0.44551237594442145#0.7088354719260018#1</v>
      </c>
      <c r="AZ71" s="2">
        <v>1</v>
      </c>
      <c r="BA71" s="2" t="s">
        <v>34</v>
      </c>
      <c r="BB71">
        <f t="shared" si="0"/>
        <v>0</v>
      </c>
      <c r="BC71">
        <v>0</v>
      </c>
    </row>
    <row r="72" spans="25:56" x14ac:dyDescent="0.25">
      <c r="Y72">
        <v>8</v>
      </c>
      <c r="Z72" s="2" t="str">
        <v xml:space="preserve"> 0.13107237590803</v>
      </c>
      <c r="AB72" t="s">
        <v>57</v>
      </c>
      <c r="AZ72" s="3">
        <v>0.96184788633787499</v>
      </c>
      <c r="BA72" s="3" t="s">
        <v>34</v>
      </c>
      <c r="BB72">
        <f t="shared" si="0"/>
        <v>-3.8152113662125009E-2</v>
      </c>
      <c r="BC72">
        <v>3.8152113662125009E-2</v>
      </c>
    </row>
    <row r="73" spans="25:56" x14ac:dyDescent="0.25">
      <c r="Y73">
        <v>9</v>
      </c>
      <c r="Z73" s="3" t="str">
        <v xml:space="preserve"> 1</v>
      </c>
      <c r="AZ73" s="2">
        <v>0</v>
      </c>
      <c r="BA73" s="2" t="s">
        <v>35</v>
      </c>
      <c r="BB73">
        <f t="shared" si="0"/>
        <v>0</v>
      </c>
      <c r="BC73">
        <v>0</v>
      </c>
    </row>
    <row r="74" spans="25:56" x14ac:dyDescent="0.25">
      <c r="Y74">
        <v>10</v>
      </c>
      <c r="Z74" s="2" t="str">
        <v xml:space="preserve"> 0.5734815136752034</v>
      </c>
      <c r="AZ74" s="3">
        <v>1</v>
      </c>
      <c r="BA74" s="3" t="s">
        <v>36</v>
      </c>
      <c r="BB74">
        <f t="shared" si="0"/>
        <v>0.13852660842636</v>
      </c>
      <c r="BC74">
        <v>0.13852660842636</v>
      </c>
    </row>
    <row r="75" spans="25:56" x14ac:dyDescent="0.25">
      <c r="Y75">
        <v>11</v>
      </c>
      <c r="Z75" s="3" t="str">
        <v xml:space="preserve"> 0.8209083262733134</v>
      </c>
      <c r="AZ75" s="2">
        <v>0.55293794800527796</v>
      </c>
      <c r="BA75" s="2" t="s">
        <v>34</v>
      </c>
      <c r="BB75">
        <f t="shared" si="0"/>
        <v>-0.44706205199472204</v>
      </c>
      <c r="BC75">
        <v>0.44706205199472204</v>
      </c>
    </row>
    <row r="76" spans="25:56" x14ac:dyDescent="0.25">
      <c r="Y76">
        <v>12</v>
      </c>
      <c r="Z76" s="2" t="str">
        <v xml:space="preserve"> 1</v>
      </c>
      <c r="AZ76" s="3">
        <v>0.59671345821399002</v>
      </c>
      <c r="BA76" s="3" t="s">
        <v>37</v>
      </c>
      <c r="BB76">
        <f t="shared" si="0"/>
        <v>5.3686848516020014E-2</v>
      </c>
      <c r="BC76">
        <v>5.3686848516020014E-2</v>
      </c>
    </row>
    <row r="77" spans="25:56" x14ac:dyDescent="0.25">
      <c r="Y77">
        <v>13</v>
      </c>
      <c r="Z77" s="3" t="str">
        <v xml:space="preserve"> 0.7620141922210834</v>
      </c>
      <c r="AZ77" s="2">
        <v>0</v>
      </c>
      <c r="BA77" s="2" t="s">
        <v>34</v>
      </c>
      <c r="BB77">
        <f t="shared" si="0"/>
        <v>-1</v>
      </c>
      <c r="BC77">
        <v>1</v>
      </c>
    </row>
    <row r="78" spans="25:56" x14ac:dyDescent="0.25">
      <c r="Y78">
        <v>14</v>
      </c>
      <c r="Z78" s="2" t="str">
        <v xml:space="preserve"> 0</v>
      </c>
      <c r="AZ78" s="3">
        <v>1</v>
      </c>
      <c r="BA78" s="3" t="s">
        <v>35</v>
      </c>
      <c r="BB78">
        <f t="shared" si="0"/>
        <v>1</v>
      </c>
      <c r="BC78">
        <v>1</v>
      </c>
    </row>
    <row r="79" spans="25:56" x14ac:dyDescent="0.25">
      <c r="Y79">
        <v>15</v>
      </c>
      <c r="Z79" s="3" t="str">
        <v xml:space="preserve"> 0.8469012784555581</v>
      </c>
      <c r="AZ79" s="2">
        <v>0</v>
      </c>
      <c r="BA79" s="2" t="s">
        <v>38</v>
      </c>
      <c r="BB79">
        <f t="shared" si="0"/>
        <v>-0.17621606443353</v>
      </c>
      <c r="BC79">
        <v>0.17621606443353</v>
      </c>
    </row>
    <row r="80" spans="25:56" x14ac:dyDescent="0.25">
      <c r="Y80">
        <v>16</v>
      </c>
      <c r="Z80" s="2" t="str">
        <v xml:space="preserve"> 0.23343418754182105</v>
      </c>
      <c r="AZ80" s="3">
        <v>0</v>
      </c>
      <c r="BA80" s="3" t="s">
        <v>34</v>
      </c>
      <c r="BB80">
        <f t="shared" si="0"/>
        <v>-1</v>
      </c>
      <c r="BC80">
        <v>1</v>
      </c>
    </row>
    <row r="81" spans="25:55" x14ac:dyDescent="0.25">
      <c r="Y81">
        <v>17</v>
      </c>
      <c r="Z81" s="3" t="str">
        <v xml:space="preserve"> 0.45135583992891476</v>
      </c>
      <c r="AZ81" s="2">
        <v>1</v>
      </c>
      <c r="BA81" s="2" t="s">
        <v>39</v>
      </c>
      <c r="BB81">
        <f t="shared" si="0"/>
        <v>0.58957907790050801</v>
      </c>
      <c r="BC81">
        <v>0.58957907790050801</v>
      </c>
    </row>
    <row r="82" spans="25:55" x14ac:dyDescent="0.25">
      <c r="Y82">
        <v>18</v>
      </c>
      <c r="Z82" s="2" t="str">
        <v xml:space="preserve"> 0</v>
      </c>
      <c r="AZ82" s="3">
        <v>0</v>
      </c>
      <c r="BA82" s="3" t="s">
        <v>40</v>
      </c>
      <c r="BB82">
        <f t="shared" si="0"/>
        <v>-0.93748321022143899</v>
      </c>
      <c r="BC82">
        <v>0.93748321022143899</v>
      </c>
    </row>
    <row r="83" spans="25:55" x14ac:dyDescent="0.25">
      <c r="Y83">
        <v>19</v>
      </c>
      <c r="Z83" s="3" t="str">
        <v xml:space="preserve"> 0</v>
      </c>
      <c r="AZ83" s="2">
        <v>2.1401265694797498E-3</v>
      </c>
      <c r="BA83" s="2" t="s">
        <v>34</v>
      </c>
      <c r="BB83">
        <f t="shared" si="0"/>
        <v>-0.99785987343052029</v>
      </c>
      <c r="BC83">
        <v>0.99785987343052029</v>
      </c>
    </row>
    <row r="84" spans="25:55" x14ac:dyDescent="0.25">
      <c r="Y84">
        <v>20</v>
      </c>
      <c r="Z84" s="2" t="str">
        <v xml:space="preserve"> 1</v>
      </c>
      <c r="AZ84" s="3">
        <v>0.37166843346534201</v>
      </c>
      <c r="BA84" s="3" t="s">
        <v>41</v>
      </c>
      <c r="BB84">
        <f t="shared" si="0"/>
        <v>7.8902838744676018E-2</v>
      </c>
      <c r="BC84">
        <v>7.8902838744676018E-2</v>
      </c>
    </row>
    <row r="85" spans="25:55" x14ac:dyDescent="0.25">
      <c r="Y85">
        <v>21</v>
      </c>
      <c r="Z85" s="3" t="str">
        <v xml:space="preserve"> 1</v>
      </c>
      <c r="AZ85" s="2">
        <v>0.16946907320228299</v>
      </c>
      <c r="BA85" s="2" t="s">
        <v>42</v>
      </c>
      <c r="BB85">
        <f t="shared" si="0"/>
        <v>0.15121010424644088</v>
      </c>
      <c r="BC85">
        <v>0.15121010424644088</v>
      </c>
    </row>
    <row r="86" spans="25:55" x14ac:dyDescent="0.25">
      <c r="Y86">
        <v>22</v>
      </c>
      <c r="Z86" s="2" t="str">
        <v xml:space="preserve"> 0.12295979875511272</v>
      </c>
      <c r="AZ86" s="3">
        <v>0</v>
      </c>
      <c r="BA86" s="3" t="s">
        <v>43</v>
      </c>
      <c r="BB86">
        <f t="shared" si="0"/>
        <v>-0.28901297450699598</v>
      </c>
      <c r="BC86">
        <v>0.28901297450699598</v>
      </c>
    </row>
    <row r="87" spans="25:55" x14ac:dyDescent="0.25">
      <c r="Y87">
        <v>23</v>
      </c>
      <c r="Z87" s="3" t="str">
        <v xml:space="preserve"> 0.465669116967161</v>
      </c>
      <c r="BA87" t="s">
        <v>44</v>
      </c>
    </row>
    <row r="88" spans="25:55" x14ac:dyDescent="0.25">
      <c r="Y88">
        <v>24</v>
      </c>
      <c r="Z88" s="2" t="str">
        <v xml:space="preserve"> 0.30175819868029957</v>
      </c>
      <c r="AI88" t="s">
        <v>58</v>
      </c>
      <c r="BA88" t="s">
        <v>35</v>
      </c>
    </row>
    <row r="89" spans="25:55" x14ac:dyDescent="0.25">
      <c r="Y89">
        <v>25</v>
      </c>
      <c r="Z89" s="3" t="str">
        <v xml:space="preserve"> 0.11378512166218352</v>
      </c>
      <c r="AH89" t="s">
        <v>58</v>
      </c>
      <c r="AI89" s="4" t="s">
        <v>59</v>
      </c>
      <c r="AK89" s="4" t="s">
        <v>59</v>
      </c>
      <c r="BA89" t="s">
        <v>45</v>
      </c>
    </row>
    <row r="90" spans="25:55" x14ac:dyDescent="0.25">
      <c r="Y90">
        <v>26</v>
      </c>
      <c r="Z90" s="2" t="str">
        <v xml:space="preserve"> 0.7775612694509465</v>
      </c>
      <c r="AH90">
        <v>1</v>
      </c>
      <c r="AI90">
        <v>2</v>
      </c>
      <c r="AJ90">
        <v>2</v>
      </c>
      <c r="AK90">
        <v>3</v>
      </c>
      <c r="AL90">
        <v>3</v>
      </c>
      <c r="BA90" t="s">
        <v>46</v>
      </c>
    </row>
    <row r="91" spans="25:55" x14ac:dyDescent="0.25">
      <c r="Y91">
        <v>27</v>
      </c>
      <c r="Z91" s="3" t="str">
        <v xml:space="preserve"> 0.08990749398937094</v>
      </c>
      <c r="AG91">
        <v>1</v>
      </c>
      <c r="AH91" s="7">
        <v>0</v>
      </c>
      <c r="AI91" s="6">
        <f ca="1">RAND()*0.1-0.05</f>
        <v>2.6022445261109292E-2</v>
      </c>
      <c r="AJ91" s="6">
        <f ca="1">MIN(MAX(AH91+AI91,0),1)</f>
        <v>2.6022445261109292E-2</v>
      </c>
      <c r="AK91" s="6">
        <f ca="1">RAND()*0.1-0.05</f>
        <v>-4.5159726086744262E-2</v>
      </c>
      <c r="AL91" s="6">
        <f ca="1">MIN(MAX(AJ91+AK91,0),1)</f>
        <v>0</v>
      </c>
      <c r="BA91" t="s">
        <v>47</v>
      </c>
    </row>
    <row r="92" spans="25:55" x14ac:dyDescent="0.25">
      <c r="Y92">
        <v>28</v>
      </c>
      <c r="Z92" s="2" t="str">
        <v xml:space="preserve"> 0.24931721920255182</v>
      </c>
      <c r="AG92">
        <v>2</v>
      </c>
      <c r="AH92" s="8">
        <v>0.838073450710207</v>
      </c>
      <c r="AI92" s="6">
        <f t="shared" ref="AI92:AI111" ca="1" si="1">RAND()*0.1-0.05</f>
        <v>3.4747747738502241E-2</v>
      </c>
      <c r="AJ92" s="6">
        <f t="shared" ref="AJ92:AJ111" ca="1" si="2">MIN(MAX(AH92+AI92,0),1)</f>
        <v>0.8728211984487092</v>
      </c>
      <c r="AK92" s="6">
        <f ca="1">RAND()*0.1-0.05</f>
        <v>-2.6847418401483442E-3</v>
      </c>
      <c r="AL92" s="6">
        <f t="shared" ref="AL92:AL111" ca="1" si="3">MIN(MAX(AJ92+AK92,0),1)</f>
        <v>0.87013645660856087</v>
      </c>
      <c r="BA92" t="s">
        <v>48</v>
      </c>
    </row>
    <row r="93" spans="25:55" x14ac:dyDescent="0.25">
      <c r="Y93">
        <v>29</v>
      </c>
      <c r="Z93" t="str">
        <v xml:space="preserve"> 1.549246383555104</v>
      </c>
      <c r="AG93">
        <v>3</v>
      </c>
      <c r="AH93" s="7">
        <v>0.36941805210713202</v>
      </c>
      <c r="AI93" s="6">
        <f t="shared" ca="1" si="1"/>
        <v>-2.8569081167179069E-2</v>
      </c>
      <c r="AJ93" s="6">
        <f t="shared" ca="1" si="2"/>
        <v>0.34084897093995298</v>
      </c>
      <c r="AK93" s="6">
        <f ca="1">RAND()*0.1-0.05</f>
        <v>-7.0035877179173006E-3</v>
      </c>
      <c r="AL93" s="6">
        <f t="shared" ca="1" si="3"/>
        <v>0.33384538322203566</v>
      </c>
      <c r="BA93" t="s">
        <v>34</v>
      </c>
    </row>
    <row r="94" spans="25:55" x14ac:dyDescent="0.25">
      <c r="Y94">
        <v>30</v>
      </c>
      <c r="Z94" t="str">
        <v xml:space="preserve"> 0.5035319414285794</v>
      </c>
      <c r="AG94">
        <v>4</v>
      </c>
      <c r="AH94" s="8">
        <v>0.772175920311859</v>
      </c>
      <c r="AI94" s="6">
        <f t="shared" ca="1" si="1"/>
        <v>-6.5090134354009871E-3</v>
      </c>
      <c r="AJ94" s="6">
        <f t="shared" ca="1" si="2"/>
        <v>0.765666906876458</v>
      </c>
      <c r="AK94" s="6">
        <f ca="1">RAND()*0.1-0.05</f>
        <v>-4.5129962397972324E-2</v>
      </c>
      <c r="AL94" s="6">
        <f t="shared" ca="1" si="3"/>
        <v>0.72053694447848571</v>
      </c>
    </row>
    <row r="95" spans="25:55" x14ac:dyDescent="0.25">
      <c r="Y95">
        <v>31</v>
      </c>
      <c r="Z95" t="str">
        <v xml:space="preserve"> 0.41846428824709475</v>
      </c>
      <c r="AG95">
        <v>5</v>
      </c>
      <c r="AH95" s="7">
        <v>0.61234593074099897</v>
      </c>
      <c r="AI95" s="6">
        <f t="shared" ca="1" si="1"/>
        <v>3.7197791655512541E-2</v>
      </c>
      <c r="AJ95" s="6">
        <f t="shared" ca="1" si="2"/>
        <v>0.64954372239651148</v>
      </c>
      <c r="AK95" s="6">
        <f ca="1">RAND()*0.1-0.05</f>
        <v>4.7506766289694663E-2</v>
      </c>
      <c r="AL95" s="6">
        <f t="shared" ca="1" si="3"/>
        <v>0.69705048868620612</v>
      </c>
    </row>
    <row r="96" spans="25:55" x14ac:dyDescent="0.25">
      <c r="Y96">
        <v>32</v>
      </c>
      <c r="Z96" t="str">
        <v xml:space="preserve"> 0.47776716811925884</v>
      </c>
      <c r="AG96">
        <v>6</v>
      </c>
      <c r="AH96" s="8">
        <v>0</v>
      </c>
      <c r="AI96" s="6">
        <f t="shared" ca="1" si="1"/>
        <v>-3.2184534616709309E-2</v>
      </c>
      <c r="AJ96" s="6">
        <f t="shared" ca="1" si="2"/>
        <v>0</v>
      </c>
      <c r="AK96" s="6">
        <f ca="1">RAND()*0.1-0.05</f>
        <v>-3.7643939990638822E-2</v>
      </c>
      <c r="AL96" s="6">
        <f t="shared" ca="1" si="3"/>
        <v>0</v>
      </c>
    </row>
    <row r="97" spans="25:38" x14ac:dyDescent="0.25">
      <c r="Y97">
        <v>33</v>
      </c>
      <c r="Z97" t="str">
        <v xml:space="preserve"> 2.645896485985821</v>
      </c>
      <c r="AG97">
        <v>7</v>
      </c>
      <c r="AH97" s="7">
        <v>1</v>
      </c>
      <c r="AI97" s="6">
        <f t="shared" ca="1" si="1"/>
        <v>-1.8507247184207022E-2</v>
      </c>
      <c r="AJ97" s="6">
        <f t="shared" ca="1" si="2"/>
        <v>0.98149275281579296</v>
      </c>
      <c r="AK97" s="6">
        <f ca="1">RAND()*0.1-0.05</f>
        <v>-4.5478162898762477E-2</v>
      </c>
      <c r="AL97" s="6">
        <f t="shared" ca="1" si="3"/>
        <v>0.93601458991703046</v>
      </c>
    </row>
    <row r="98" spans="25:38" x14ac:dyDescent="0.25">
      <c r="Y98">
        <v>34</v>
      </c>
      <c r="Z98" t="str">
        <v xml:space="preserve"> 0.4276462584401111</v>
      </c>
      <c r="AG98">
        <v>8</v>
      </c>
      <c r="AH98" s="8">
        <v>0.27929680791088402</v>
      </c>
      <c r="AI98" s="6">
        <f t="shared" ca="1" si="1"/>
        <v>-2.0239817943669372E-2</v>
      </c>
      <c r="AJ98" s="6">
        <f t="shared" ca="1" si="2"/>
        <v>0.25905698996721466</v>
      </c>
      <c r="AK98" s="6">
        <f ca="1">RAND()*0.1-0.05</f>
        <v>-3.3461910326002577E-2</v>
      </c>
      <c r="AL98" s="6">
        <f t="shared" ca="1" si="3"/>
        <v>0.22559507964121209</v>
      </c>
    </row>
    <row r="99" spans="25:38" x14ac:dyDescent="0.25">
      <c r="Y99">
        <v>35</v>
      </c>
      <c r="Z99" t="str">
        <v xml:space="preserve"> 1.3060298337084184</v>
      </c>
      <c r="AG99">
        <v>9</v>
      </c>
      <c r="AH99" s="7">
        <v>1</v>
      </c>
      <c r="AI99" s="6">
        <f t="shared" ca="1" si="1"/>
        <v>-2.8537407274226712E-2</v>
      </c>
      <c r="AJ99" s="6">
        <f t="shared" ca="1" si="2"/>
        <v>0.97146259272577329</v>
      </c>
      <c r="AK99" s="6">
        <f ca="1">RAND()*0.1-0.05</f>
        <v>2.3618344335669991E-2</v>
      </c>
      <c r="AL99" s="6">
        <f t="shared" ca="1" si="3"/>
        <v>0.99508093706144329</v>
      </c>
    </row>
    <row r="100" spans="25:38" x14ac:dyDescent="0.25">
      <c r="Y100">
        <v>36</v>
      </c>
      <c r="Z100" t="str">
        <v xml:space="preserve"> 0.7286895119148545</v>
      </c>
      <c r="AG100">
        <v>10</v>
      </c>
      <c r="AH100" s="8">
        <v>3.9908815338230499E-2</v>
      </c>
      <c r="AI100" s="6">
        <f t="shared" ca="1" si="1"/>
        <v>4.5046227277024287E-2</v>
      </c>
      <c r="AJ100" s="6">
        <f t="shared" ca="1" si="2"/>
        <v>8.4955042615254786E-2</v>
      </c>
      <c r="AK100" s="6">
        <f ca="1">RAND()*0.1-0.05</f>
        <v>-4.2988793695906226E-2</v>
      </c>
      <c r="AL100" s="6">
        <f t="shared" ca="1" si="3"/>
        <v>4.196624891934856E-2</v>
      </c>
    </row>
    <row r="101" spans="25:38" x14ac:dyDescent="0.25">
      <c r="Y101">
        <v>37</v>
      </c>
      <c r="Z101" t="str">
        <v xml:space="preserve"> 0.10299851881059864</v>
      </c>
      <c r="AG101">
        <v>11</v>
      </c>
      <c r="AH101" s="7">
        <v>0.93716941113188901</v>
      </c>
      <c r="AI101" s="6">
        <f t="shared" ca="1" si="1"/>
        <v>3.0352516215965644E-2</v>
      </c>
      <c r="AJ101" s="6">
        <f t="shared" ca="1" si="2"/>
        <v>0.96752192734785469</v>
      </c>
      <c r="AK101" s="6">
        <f ca="1">RAND()*0.1-0.05</f>
        <v>2.7057557132921795E-2</v>
      </c>
      <c r="AL101" s="6">
        <f t="shared" ca="1" si="3"/>
        <v>0.99457948448077649</v>
      </c>
    </row>
    <row r="102" spans="25:38" x14ac:dyDescent="0.25">
      <c r="Y102">
        <v>38</v>
      </c>
      <c r="Z102" t="str">
        <v xml:space="preserve"> 0.5810672329521678</v>
      </c>
      <c r="AG102">
        <v>12</v>
      </c>
      <c r="AH102" s="8">
        <v>1</v>
      </c>
      <c r="AI102" s="6">
        <f t="shared" ca="1" si="1"/>
        <v>9.6648438070453396E-3</v>
      </c>
      <c r="AJ102" s="6">
        <f t="shared" ca="1" si="2"/>
        <v>1</v>
      </c>
      <c r="AK102" s="6">
        <f ca="1">RAND()*0.1-0.05</f>
        <v>-3.0732525634727531E-3</v>
      </c>
      <c r="AL102" s="6">
        <f t="shared" ca="1" si="3"/>
        <v>0.99692674743652721</v>
      </c>
    </row>
    <row r="103" spans="25:38" x14ac:dyDescent="0.25">
      <c r="Y103">
        <v>39</v>
      </c>
      <c r="Z103" t="str">
        <v xml:space="preserve"> 1.3290385558975308</v>
      </c>
      <c r="AG103">
        <v>13</v>
      </c>
      <c r="AH103" s="7">
        <v>0.62226011233405598</v>
      </c>
      <c r="AI103" s="6">
        <f t="shared" ca="1" si="1"/>
        <v>-1.4871608995995669E-2</v>
      </c>
      <c r="AJ103" s="6">
        <f t="shared" ca="1" si="2"/>
        <v>0.60738850333806027</v>
      </c>
      <c r="AK103" s="6">
        <f ca="1">RAND()*0.1-0.05</f>
        <v>4.4974725903202936E-2</v>
      </c>
      <c r="AL103" s="6">
        <f t="shared" ca="1" si="3"/>
        <v>0.65236322924126322</v>
      </c>
    </row>
    <row r="104" spans="25:38" x14ac:dyDescent="0.25">
      <c r="Y104">
        <v>40</v>
      </c>
      <c r="Z104" t="str">
        <v xml:space="preserve"> 0.418901931740738</v>
      </c>
      <c r="AG104">
        <v>14</v>
      </c>
      <c r="AH104" s="8">
        <v>0</v>
      </c>
      <c r="AI104" s="6">
        <f t="shared" ca="1" si="1"/>
        <v>2.1148299171099449E-2</v>
      </c>
      <c r="AJ104" s="6">
        <f t="shared" ca="1" si="2"/>
        <v>2.1148299171099449E-2</v>
      </c>
      <c r="AK104" s="6">
        <f ca="1">RAND()*0.1-0.05</f>
        <v>3.6090712317550275E-2</v>
      </c>
      <c r="AL104" s="6">
        <f t="shared" ca="1" si="3"/>
        <v>5.7239011488649724E-2</v>
      </c>
    </row>
    <row r="105" spans="25:38" x14ac:dyDescent="0.25">
      <c r="Y105">
        <v>41</v>
      </c>
      <c r="Z105" t="str">
        <v xml:space="preserve"> 0.7709358489567526</v>
      </c>
      <c r="AG105">
        <v>15</v>
      </c>
      <c r="AH105" s="7">
        <v>0.55344351954543602</v>
      </c>
      <c r="AI105" s="6">
        <f t="shared" ca="1" si="1"/>
        <v>3.0094637308583957E-2</v>
      </c>
      <c r="AJ105" s="6">
        <f t="shared" ca="1" si="2"/>
        <v>0.58353815685402</v>
      </c>
      <c r="AK105" s="6">
        <f ca="1">RAND()*0.1-0.05</f>
        <v>3.0777650797510311E-2</v>
      </c>
      <c r="AL105" s="6">
        <f t="shared" ca="1" si="3"/>
        <v>0.61431580765153027</v>
      </c>
    </row>
    <row r="106" spans="25:38" x14ac:dyDescent="0.25">
      <c r="Y106">
        <v>42</v>
      </c>
      <c r="Z106" t="str">
        <v xml:space="preserve"> 1.5149493746584235</v>
      </c>
      <c r="AG106">
        <v>16</v>
      </c>
      <c r="AH106" s="8">
        <v>0.78854921023547897</v>
      </c>
      <c r="AI106" s="6">
        <f t="shared" ca="1" si="1"/>
        <v>-3.5774500413790038E-2</v>
      </c>
      <c r="AJ106" s="6">
        <f t="shared" ca="1" si="2"/>
        <v>0.75277470982168893</v>
      </c>
      <c r="AK106" s="6">
        <f ca="1">RAND()*0.1-0.05</f>
        <v>2.4829381565268288E-2</v>
      </c>
      <c r="AL106" s="6">
        <f t="shared" ca="1" si="3"/>
        <v>0.77760409138695719</v>
      </c>
    </row>
    <row r="107" spans="25:38" x14ac:dyDescent="0.25">
      <c r="Y107">
        <v>43</v>
      </c>
      <c r="AG107">
        <v>17</v>
      </c>
      <c r="AH107" s="7">
        <v>0.34360099288912299</v>
      </c>
      <c r="AI107" s="6">
        <f t="shared" ca="1" si="1"/>
        <v>-3.5972953055476757E-2</v>
      </c>
      <c r="AJ107" s="6">
        <f t="shared" ca="1" si="2"/>
        <v>0.30762803983364623</v>
      </c>
      <c r="AK107" s="6">
        <f ca="1">RAND()*0.1-0.05</f>
        <v>-2.8543418609893602E-2</v>
      </c>
      <c r="AL107" s="6">
        <f t="shared" ca="1" si="3"/>
        <v>0.2790846212237526</v>
      </c>
    </row>
    <row r="108" spans="25:38" x14ac:dyDescent="0.25">
      <c r="Y108">
        <v>44</v>
      </c>
      <c r="AG108">
        <v>18</v>
      </c>
      <c r="AH108" s="8">
        <v>0</v>
      </c>
      <c r="AI108" s="6">
        <f t="shared" ca="1" si="1"/>
        <v>-4.3157233180747691E-2</v>
      </c>
      <c r="AJ108" s="6">
        <f t="shared" ca="1" si="2"/>
        <v>0</v>
      </c>
      <c r="AK108" s="6">
        <f ca="1">RAND()*0.1-0.05</f>
        <v>3.1917484210047031E-2</v>
      </c>
      <c r="AL108" s="6">
        <f t="shared" ca="1" si="3"/>
        <v>3.1917484210047031E-2</v>
      </c>
    </row>
    <row r="109" spans="25:38" x14ac:dyDescent="0.25">
      <c r="Y109">
        <v>45</v>
      </c>
      <c r="AG109">
        <v>19</v>
      </c>
      <c r="AH109" s="7">
        <v>0.34378680064676098</v>
      </c>
      <c r="AI109" s="6">
        <f t="shared" ca="1" si="1"/>
        <v>4.6778349750121614E-2</v>
      </c>
      <c r="AJ109" s="6">
        <f t="shared" ca="1" si="2"/>
        <v>0.39056515039688261</v>
      </c>
      <c r="AK109" s="6">
        <f ca="1">RAND()*0.1-0.05</f>
        <v>1.5936933291616037E-2</v>
      </c>
      <c r="AL109" s="6">
        <f t="shared" ca="1" si="3"/>
        <v>0.40650208368849866</v>
      </c>
    </row>
    <row r="110" spans="25:38" x14ac:dyDescent="0.25">
      <c r="Y110">
        <v>46</v>
      </c>
      <c r="AG110">
        <v>20</v>
      </c>
      <c r="AH110" s="8">
        <v>1</v>
      </c>
      <c r="AI110" s="6">
        <f t="shared" ca="1" si="1"/>
        <v>2.648576780169426E-2</v>
      </c>
      <c r="AJ110" s="6">
        <f t="shared" ca="1" si="2"/>
        <v>1</v>
      </c>
      <c r="AK110" s="6">
        <f ca="1">RAND()*0.1-0.05</f>
        <v>-1.2213252835405961E-3</v>
      </c>
      <c r="AL110" s="6">
        <f t="shared" ca="1" si="3"/>
        <v>0.99877867471645942</v>
      </c>
    </row>
    <row r="111" spans="25:38" x14ac:dyDescent="0.25">
      <c r="Y111">
        <v>47</v>
      </c>
      <c r="AG111">
        <v>21</v>
      </c>
      <c r="AH111" s="7">
        <v>1</v>
      </c>
      <c r="AI111" s="6">
        <f t="shared" ca="1" si="1"/>
        <v>4.1142541968420945E-2</v>
      </c>
      <c r="AJ111" s="6">
        <f t="shared" ca="1" si="2"/>
        <v>1</v>
      </c>
      <c r="AK111" s="6">
        <f ca="1">RAND()*0.1-0.05</f>
        <v>6.5550898632476887E-3</v>
      </c>
      <c r="AL111" s="6">
        <f t="shared" ca="1" si="3"/>
        <v>1</v>
      </c>
    </row>
    <row r="112" spans="25:38" x14ac:dyDescent="0.25">
      <c r="Y112">
        <v>48</v>
      </c>
      <c r="AG112">
        <v>22</v>
      </c>
      <c r="AH112" s="6"/>
      <c r="AI112" s="6"/>
      <c r="AJ112" s="6"/>
      <c r="AK112" s="6"/>
      <c r="AL112" s="6"/>
    </row>
    <row r="113" spans="25:25" x14ac:dyDescent="0.25">
      <c r="Y113">
        <v>49</v>
      </c>
    </row>
    <row r="114" spans="25:25" x14ac:dyDescent="0.25">
      <c r="Y114">
        <v>50</v>
      </c>
    </row>
    <row r="115" spans="25:25" x14ac:dyDescent="0.25">
      <c r="Y115">
        <v>51</v>
      </c>
    </row>
    <row r="116" spans="25:25" x14ac:dyDescent="0.25">
      <c r="Y116">
        <v>52</v>
      </c>
    </row>
    <row r="117" spans="25:25" x14ac:dyDescent="0.25">
      <c r="Y117">
        <v>53</v>
      </c>
    </row>
    <row r="118" spans="25:25" x14ac:dyDescent="0.25">
      <c r="Y118">
        <v>54</v>
      </c>
    </row>
    <row r="119" spans="25:25" x14ac:dyDescent="0.25">
      <c r="Y119">
        <v>55</v>
      </c>
    </row>
    <row r="120" spans="25:25" x14ac:dyDescent="0.25">
      <c r="Y120">
        <v>56</v>
      </c>
    </row>
    <row r="121" spans="25:25" x14ac:dyDescent="0.25">
      <c r="Y121">
        <v>57</v>
      </c>
    </row>
    <row r="122" spans="25:25" x14ac:dyDescent="0.25">
      <c r="Y122">
        <v>58</v>
      </c>
    </row>
    <row r="123" spans="25:25" x14ac:dyDescent="0.25">
      <c r="Y123">
        <v>59</v>
      </c>
    </row>
    <row r="124" spans="25:25" x14ac:dyDescent="0.25">
      <c r="Y124">
        <v>60</v>
      </c>
    </row>
    <row r="125" spans="25:25" x14ac:dyDescent="0.25">
      <c r="Y125">
        <v>61</v>
      </c>
    </row>
    <row r="126" spans="25:25" x14ac:dyDescent="0.25">
      <c r="Y126">
        <v>62</v>
      </c>
    </row>
    <row r="127" spans="25:25" x14ac:dyDescent="0.25">
      <c r="Y127">
        <v>63</v>
      </c>
    </row>
  </sheetData>
  <mergeCells count="8">
    <mergeCell ref="AM29:AU30"/>
    <mergeCell ref="AB1:AJ2"/>
    <mergeCell ref="AN1:AV2"/>
    <mergeCell ref="O29:W30"/>
    <mergeCell ref="C29:K30"/>
    <mergeCell ref="AA29:AI30"/>
    <mergeCell ref="AY29:BG30"/>
    <mergeCell ref="BK29:BS30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9BAA-8977-4D22-B011-D77539E65F64}">
  <dimension ref="A1:AY19"/>
  <sheetViews>
    <sheetView topLeftCell="I1" workbookViewId="0">
      <selection activeCell="O32" sqref="O32"/>
    </sheetView>
  </sheetViews>
  <sheetFormatPr defaultRowHeight="15" x14ac:dyDescent="0.25"/>
  <cols>
    <col min="2" max="2" width="12.42578125" bestFit="1" customWidth="1"/>
    <col min="3" max="3" width="10.140625" bestFit="1" customWidth="1"/>
    <col min="4" max="4" width="12.42578125" bestFit="1" customWidth="1"/>
    <col min="9" max="9" width="10.28515625" bestFit="1" customWidth="1"/>
    <col min="10" max="10" width="10.85546875" bestFit="1" customWidth="1"/>
    <col min="11" max="11" width="14.140625" bestFit="1" customWidth="1"/>
    <col min="12" max="12" width="14.7109375" bestFit="1" customWidth="1"/>
    <col min="15" max="15" width="12.42578125" bestFit="1" customWidth="1"/>
    <col min="16" max="16" width="10.140625" bestFit="1" customWidth="1"/>
    <col min="25" max="25" width="14.7109375" bestFit="1" customWidth="1"/>
    <col min="29" max="29" width="11.28515625" bestFit="1" customWidth="1"/>
    <col min="35" max="35" width="10.28515625" bestFit="1" customWidth="1"/>
    <col min="36" max="36" width="10.85546875" bestFit="1" customWidth="1"/>
    <col min="37" max="37" width="14.140625" bestFit="1" customWidth="1"/>
    <col min="38" max="38" width="14.7109375" bestFit="1" customWidth="1"/>
    <col min="48" max="48" width="10.28515625" bestFit="1" customWidth="1"/>
    <col min="49" max="49" width="10.85546875" bestFit="1" customWidth="1"/>
    <col min="50" max="50" width="14.140625" bestFit="1" customWidth="1"/>
    <col min="51" max="51" width="14.7109375" bestFit="1" customWidth="1"/>
  </cols>
  <sheetData>
    <row r="1" spans="1:51" x14ac:dyDescent="0.25">
      <c r="B1" s="5" t="s">
        <v>73</v>
      </c>
      <c r="C1" s="5"/>
      <c r="D1" s="5"/>
      <c r="E1" s="5"/>
      <c r="F1" s="5"/>
      <c r="G1" s="5"/>
      <c r="H1" s="5"/>
      <c r="I1" s="1"/>
      <c r="J1" s="1"/>
      <c r="K1" s="1"/>
      <c r="L1" s="1"/>
      <c r="N1" s="5">
        <v>64</v>
      </c>
      <c r="O1" s="5"/>
      <c r="P1" s="5"/>
      <c r="Q1" s="5"/>
      <c r="R1" s="5"/>
      <c r="S1" s="5"/>
      <c r="T1" s="5"/>
      <c r="U1" s="5"/>
      <c r="V1" s="1"/>
      <c r="W1" s="1"/>
      <c r="X1" s="1"/>
      <c r="Y1" s="1"/>
      <c r="AA1" s="5">
        <v>28</v>
      </c>
      <c r="AB1" s="5"/>
      <c r="AC1" s="5"/>
      <c r="AD1" s="5"/>
      <c r="AE1" s="5"/>
      <c r="AF1" s="5"/>
      <c r="AG1" s="5"/>
      <c r="AH1" s="5"/>
      <c r="AI1" s="1"/>
      <c r="AJ1" s="1"/>
      <c r="AK1" s="1"/>
      <c r="AL1" s="1"/>
      <c r="AN1" s="5" t="s">
        <v>74</v>
      </c>
      <c r="AO1" s="5"/>
      <c r="AP1" s="5"/>
      <c r="AQ1" s="5"/>
      <c r="AR1" s="5"/>
      <c r="AS1" s="5"/>
      <c r="AT1" s="5"/>
      <c r="AU1" s="5"/>
    </row>
    <row r="2" spans="1:51" x14ac:dyDescent="0.25">
      <c r="B2" s="5"/>
      <c r="C2" s="5"/>
      <c r="D2" s="5"/>
      <c r="E2" s="5"/>
      <c r="F2" s="5"/>
      <c r="G2" s="5"/>
      <c r="H2" s="5"/>
      <c r="I2" s="1"/>
      <c r="J2" s="1"/>
      <c r="K2" s="1"/>
      <c r="L2" s="1"/>
      <c r="N2" s="5"/>
      <c r="O2" s="5"/>
      <c r="P2" s="5"/>
      <c r="Q2" s="5"/>
      <c r="R2" s="5"/>
      <c r="S2" s="5"/>
      <c r="T2" s="5"/>
      <c r="U2" s="5"/>
      <c r="V2" s="1"/>
      <c r="W2" s="1"/>
      <c r="X2" s="1"/>
      <c r="Y2" s="1"/>
      <c r="AA2" s="5"/>
      <c r="AB2" s="5"/>
      <c r="AC2" s="5"/>
      <c r="AD2" s="5"/>
      <c r="AE2" s="5"/>
      <c r="AF2" s="5"/>
      <c r="AG2" s="5"/>
      <c r="AH2" s="5"/>
      <c r="AI2" s="1"/>
      <c r="AJ2" s="1"/>
      <c r="AK2" s="1"/>
      <c r="AL2" s="1"/>
      <c r="AN2" s="5"/>
      <c r="AO2" s="5"/>
      <c r="AP2" s="5"/>
      <c r="AQ2" s="5"/>
      <c r="AR2" s="5"/>
      <c r="AS2" s="5"/>
      <c r="AT2" s="5"/>
      <c r="AU2" s="5"/>
    </row>
    <row r="3" spans="1:51" x14ac:dyDescent="0.25">
      <c r="A3" t="s">
        <v>68</v>
      </c>
      <c r="B3" t="s">
        <v>61</v>
      </c>
      <c r="C3" t="s">
        <v>62</v>
      </c>
      <c r="D3" t="s">
        <v>63</v>
      </c>
      <c r="E3" t="s">
        <v>70</v>
      </c>
      <c r="F3" t="s">
        <v>71</v>
      </c>
      <c r="G3" t="s">
        <v>67</v>
      </c>
      <c r="H3" t="s">
        <v>64</v>
      </c>
      <c r="N3" t="s">
        <v>68</v>
      </c>
      <c r="O3" t="s">
        <v>61</v>
      </c>
      <c r="P3" t="s">
        <v>62</v>
      </c>
      <c r="Q3" t="s">
        <v>63</v>
      </c>
      <c r="R3" t="s">
        <v>70</v>
      </c>
      <c r="S3" t="s">
        <v>71</v>
      </c>
      <c r="T3" t="s">
        <v>67</v>
      </c>
      <c r="U3" t="s">
        <v>64</v>
      </c>
      <c r="AA3" t="s">
        <v>68</v>
      </c>
      <c r="AB3" t="s">
        <v>61</v>
      </c>
      <c r="AC3" t="s">
        <v>62</v>
      </c>
      <c r="AD3" t="s">
        <v>63</v>
      </c>
      <c r="AE3" t="s">
        <v>70</v>
      </c>
      <c r="AF3" t="s">
        <v>71</v>
      </c>
      <c r="AG3" t="s">
        <v>67</v>
      </c>
      <c r="AH3" t="s">
        <v>64</v>
      </c>
      <c r="AN3" t="s">
        <v>68</v>
      </c>
      <c r="AO3" t="s">
        <v>61</v>
      </c>
      <c r="AP3" t="s">
        <v>62</v>
      </c>
      <c r="AQ3" t="s">
        <v>63</v>
      </c>
      <c r="AR3" t="s">
        <v>70</v>
      </c>
      <c r="AS3" t="s">
        <v>71</v>
      </c>
      <c r="AT3" t="s">
        <v>67</v>
      </c>
      <c r="AU3" t="s">
        <v>64</v>
      </c>
      <c r="AV3" t="s">
        <v>76</v>
      </c>
      <c r="AW3" t="s">
        <v>77</v>
      </c>
      <c r="AX3" t="s">
        <v>78</v>
      </c>
      <c r="AY3" t="s">
        <v>79</v>
      </c>
    </row>
    <row r="4" spans="1:51" x14ac:dyDescent="0.25">
      <c r="A4" t="s">
        <v>69</v>
      </c>
      <c r="B4" t="s">
        <v>65</v>
      </c>
      <c r="C4" t="s">
        <v>66</v>
      </c>
      <c r="D4">
        <v>18000</v>
      </c>
      <c r="E4">
        <f>G4/D4</f>
        <v>0.54800000000000004</v>
      </c>
      <c r="F4">
        <f>1-E4</f>
        <v>0.45199999999999996</v>
      </c>
      <c r="G4">
        <v>9864</v>
      </c>
      <c r="H4">
        <f>D4-G4</f>
        <v>8136</v>
      </c>
      <c r="N4" t="s">
        <v>69</v>
      </c>
      <c r="O4" t="s">
        <v>65</v>
      </c>
      <c r="P4" t="s">
        <v>66</v>
      </c>
      <c r="Q4">
        <v>18000</v>
      </c>
      <c r="R4">
        <f>T4/Q4</f>
        <v>0.54800000000000004</v>
      </c>
      <c r="S4">
        <f>1-R4</f>
        <v>0.45199999999999996</v>
      </c>
      <c r="T4">
        <v>9864</v>
      </c>
      <c r="U4">
        <f>Q4-T4</f>
        <v>8136</v>
      </c>
      <c r="AA4" t="s">
        <v>69</v>
      </c>
      <c r="AB4" t="s">
        <v>65</v>
      </c>
      <c r="AC4" t="s">
        <v>72</v>
      </c>
      <c r="AD4">
        <v>18000</v>
      </c>
      <c r="AE4" s="6">
        <f>AG4/AD4</f>
        <v>0.53833333333333333</v>
      </c>
      <c r="AF4">
        <f>1-AE4</f>
        <v>0.46166666666666667</v>
      </c>
      <c r="AG4">
        <v>9690</v>
      </c>
      <c r="AH4">
        <f>AD4-AG4</f>
        <v>8310</v>
      </c>
      <c r="AN4" t="s">
        <v>69</v>
      </c>
      <c r="AO4" t="s">
        <v>65</v>
      </c>
      <c r="AP4" t="s">
        <v>75</v>
      </c>
      <c r="AQ4">
        <v>18000</v>
      </c>
      <c r="AR4">
        <f>AT4/AQ4</f>
        <v>0.41111111111111109</v>
      </c>
      <c r="AS4" s="6">
        <f>1-AR4</f>
        <v>0.58888888888888891</v>
      </c>
      <c r="AT4">
        <v>7400</v>
      </c>
      <c r="AU4">
        <f>AQ4-AT4</f>
        <v>10600</v>
      </c>
    </row>
    <row r="6" spans="1:51" x14ac:dyDescent="0.25">
      <c r="A6" t="s">
        <v>68</v>
      </c>
      <c r="B6" t="s">
        <v>61</v>
      </c>
      <c r="C6" t="s">
        <v>62</v>
      </c>
      <c r="D6" t="s">
        <v>63</v>
      </c>
      <c r="E6" t="s">
        <v>70</v>
      </c>
      <c r="F6" t="s">
        <v>71</v>
      </c>
      <c r="G6" t="s">
        <v>67</v>
      </c>
      <c r="H6" t="s">
        <v>64</v>
      </c>
      <c r="N6" t="s">
        <v>68</v>
      </c>
      <c r="O6" t="s">
        <v>61</v>
      </c>
      <c r="P6" t="s">
        <v>62</v>
      </c>
      <c r="Q6" t="s">
        <v>63</v>
      </c>
      <c r="R6" t="s">
        <v>70</v>
      </c>
      <c r="S6" t="s">
        <v>71</v>
      </c>
      <c r="T6" t="s">
        <v>67</v>
      </c>
      <c r="U6" t="s">
        <v>64</v>
      </c>
      <c r="AA6" t="s">
        <v>68</v>
      </c>
      <c r="AB6" t="s">
        <v>61</v>
      </c>
      <c r="AC6" t="s">
        <v>62</v>
      </c>
      <c r="AD6" t="s">
        <v>63</v>
      </c>
      <c r="AE6" t="s">
        <v>70</v>
      </c>
      <c r="AF6" t="s">
        <v>71</v>
      </c>
      <c r="AG6" t="s">
        <v>67</v>
      </c>
      <c r="AH6" t="s">
        <v>64</v>
      </c>
      <c r="AI6" t="s">
        <v>76</v>
      </c>
      <c r="AJ6" t="s">
        <v>77</v>
      </c>
      <c r="AK6" t="s">
        <v>78</v>
      </c>
      <c r="AL6" t="s">
        <v>79</v>
      </c>
      <c r="AN6" t="s">
        <v>68</v>
      </c>
      <c r="AO6" t="s">
        <v>61</v>
      </c>
      <c r="AP6" t="s">
        <v>62</v>
      </c>
      <c r="AQ6" t="s">
        <v>63</v>
      </c>
      <c r="AR6" t="s">
        <v>70</v>
      </c>
      <c r="AS6" t="s">
        <v>71</v>
      </c>
      <c r="AT6" t="s">
        <v>67</v>
      </c>
      <c r="AU6" t="s">
        <v>64</v>
      </c>
      <c r="AV6" t="s">
        <v>76</v>
      </c>
      <c r="AW6" t="s">
        <v>77</v>
      </c>
      <c r="AX6" t="s">
        <v>78</v>
      </c>
      <c r="AY6" t="s">
        <v>79</v>
      </c>
    </row>
    <row r="7" spans="1:51" x14ac:dyDescent="0.25">
      <c r="A7" t="s">
        <v>69</v>
      </c>
      <c r="B7" t="s">
        <v>65</v>
      </c>
      <c r="C7" t="s">
        <v>72</v>
      </c>
      <c r="D7">
        <v>18000</v>
      </c>
      <c r="E7" s="6">
        <f>G7/D7</f>
        <v>0.53833333333333333</v>
      </c>
      <c r="F7">
        <f>1-E7</f>
        <v>0.46166666666666667</v>
      </c>
      <c r="G7">
        <v>9690</v>
      </c>
      <c r="H7">
        <f>D7-G7</f>
        <v>8310</v>
      </c>
      <c r="N7" t="s">
        <v>69</v>
      </c>
      <c r="O7" t="s">
        <v>66</v>
      </c>
      <c r="P7" t="s">
        <v>72</v>
      </c>
      <c r="Q7">
        <v>18000</v>
      </c>
      <c r="R7">
        <f>T7/Q7</f>
        <v>0.47294444444444445</v>
      </c>
      <c r="S7">
        <f>1-R7</f>
        <v>0.52705555555555561</v>
      </c>
      <c r="T7">
        <v>8513</v>
      </c>
      <c r="U7">
        <f>Q7-T7</f>
        <v>9487</v>
      </c>
      <c r="AA7" t="s">
        <v>69</v>
      </c>
      <c r="AB7" t="s">
        <v>66</v>
      </c>
      <c r="AC7" t="s">
        <v>72</v>
      </c>
      <c r="AD7">
        <v>18000</v>
      </c>
      <c r="AE7">
        <f>AG7/AD7</f>
        <v>0.47294444444444445</v>
      </c>
      <c r="AF7">
        <f>1-AE7</f>
        <v>0.52705555555555561</v>
      </c>
      <c r="AG7">
        <v>8513</v>
      </c>
      <c r="AH7">
        <f>AD7-AG7</f>
        <v>9487</v>
      </c>
      <c r="AN7" t="s">
        <v>69</v>
      </c>
      <c r="AO7" t="s">
        <v>65</v>
      </c>
      <c r="AP7" t="s">
        <v>75</v>
      </c>
      <c r="AQ7">
        <v>18000</v>
      </c>
      <c r="AR7">
        <f>AT7/AQ7</f>
        <v>0.4097777777777778</v>
      </c>
      <c r="AS7" s="6">
        <f>1-AR7</f>
        <v>0.5902222222222222</v>
      </c>
      <c r="AT7">
        <v>7376</v>
      </c>
      <c r="AU7">
        <f>AQ7-AT7</f>
        <v>10624</v>
      </c>
      <c r="AV7">
        <v>20.25</v>
      </c>
      <c r="AW7">
        <v>19.59</v>
      </c>
      <c r="AX7">
        <v>18.62</v>
      </c>
      <c r="AY7">
        <v>18.809999999999999</v>
      </c>
    </row>
    <row r="9" spans="1:51" x14ac:dyDescent="0.25">
      <c r="A9" t="s">
        <v>68</v>
      </c>
      <c r="B9" t="s">
        <v>61</v>
      </c>
      <c r="C9" t="s">
        <v>62</v>
      </c>
      <c r="D9" t="s">
        <v>63</v>
      </c>
      <c r="E9" t="s">
        <v>70</v>
      </c>
      <c r="F9" t="s">
        <v>71</v>
      </c>
      <c r="G9" t="s">
        <v>67</v>
      </c>
      <c r="H9" t="s">
        <v>64</v>
      </c>
      <c r="N9" t="s">
        <v>68</v>
      </c>
      <c r="O9" t="s">
        <v>61</v>
      </c>
      <c r="P9" t="s">
        <v>62</v>
      </c>
      <c r="Q9" t="s">
        <v>63</v>
      </c>
      <c r="R9" t="s">
        <v>70</v>
      </c>
      <c r="S9" t="s">
        <v>71</v>
      </c>
      <c r="T9" t="s">
        <v>67</v>
      </c>
      <c r="U9" t="s">
        <v>64</v>
      </c>
      <c r="V9" t="s">
        <v>76</v>
      </c>
      <c r="W9" t="s">
        <v>77</v>
      </c>
      <c r="X9" t="s">
        <v>78</v>
      </c>
      <c r="Y9" t="s">
        <v>79</v>
      </c>
      <c r="AA9" t="s">
        <v>68</v>
      </c>
      <c r="AB9" t="s">
        <v>61</v>
      </c>
      <c r="AC9" t="s">
        <v>62</v>
      </c>
      <c r="AD9" t="s">
        <v>63</v>
      </c>
      <c r="AE9" t="s">
        <v>70</v>
      </c>
      <c r="AF9" t="s">
        <v>71</v>
      </c>
      <c r="AG9" t="s">
        <v>67</v>
      </c>
      <c r="AH9" t="s">
        <v>64</v>
      </c>
      <c r="AI9" t="s">
        <v>76</v>
      </c>
      <c r="AJ9" t="s">
        <v>77</v>
      </c>
      <c r="AK9" t="s">
        <v>78</v>
      </c>
      <c r="AL9" t="s">
        <v>79</v>
      </c>
    </row>
    <row r="10" spans="1:51" x14ac:dyDescent="0.25">
      <c r="A10" t="s">
        <v>69</v>
      </c>
      <c r="B10" t="s">
        <v>65</v>
      </c>
      <c r="C10" t="s">
        <v>75</v>
      </c>
      <c r="D10">
        <v>18000</v>
      </c>
      <c r="E10">
        <f>G10/D10</f>
        <v>0.41111111111111109</v>
      </c>
      <c r="F10" s="6">
        <f>1-E10</f>
        <v>0.58888888888888891</v>
      </c>
      <c r="G10">
        <v>7400</v>
      </c>
      <c r="H10">
        <f>D10-G10</f>
        <v>10600</v>
      </c>
      <c r="N10" t="s">
        <v>69</v>
      </c>
      <c r="O10" t="s">
        <v>65</v>
      </c>
      <c r="P10" t="s">
        <v>66</v>
      </c>
      <c r="Q10">
        <v>18000</v>
      </c>
      <c r="R10">
        <f>T10/Q10</f>
        <v>0.55466666666666664</v>
      </c>
      <c r="S10">
        <f>1-R10</f>
        <v>0.44533333333333336</v>
      </c>
      <c r="T10">
        <v>9984</v>
      </c>
      <c r="U10">
        <f>Q10-T10</f>
        <v>8016</v>
      </c>
      <c r="V10">
        <v>18.95</v>
      </c>
      <c r="W10">
        <v>19.350000000000001</v>
      </c>
      <c r="X10">
        <v>18.75</v>
      </c>
      <c r="Y10">
        <v>18.14</v>
      </c>
      <c r="AA10" t="s">
        <v>69</v>
      </c>
      <c r="AB10" t="s">
        <v>65</v>
      </c>
      <c r="AC10" t="s">
        <v>72</v>
      </c>
      <c r="AD10">
        <v>18000</v>
      </c>
      <c r="AE10" s="6">
        <f>AG10/AD10</f>
        <v>0.53466666666666662</v>
      </c>
      <c r="AF10">
        <f>1-AE10</f>
        <v>0.46533333333333338</v>
      </c>
      <c r="AG10">
        <v>9624</v>
      </c>
      <c r="AH10">
        <f>AD10-AG10</f>
        <v>8376</v>
      </c>
      <c r="AI10">
        <v>19.39</v>
      </c>
      <c r="AJ10">
        <v>18.7</v>
      </c>
      <c r="AK10">
        <v>17.73</v>
      </c>
      <c r="AL10">
        <v>18.62</v>
      </c>
    </row>
    <row r="12" spans="1:51" x14ac:dyDescent="0.25">
      <c r="A12" t="s">
        <v>68</v>
      </c>
      <c r="B12" t="s">
        <v>61</v>
      </c>
      <c r="C12" t="s">
        <v>62</v>
      </c>
      <c r="D12" t="s">
        <v>63</v>
      </c>
      <c r="E12" t="s">
        <v>70</v>
      </c>
      <c r="F12" t="s">
        <v>71</v>
      </c>
      <c r="G12" t="s">
        <v>67</v>
      </c>
      <c r="H12" t="s">
        <v>64</v>
      </c>
      <c r="I12" t="s">
        <v>76</v>
      </c>
      <c r="J12" t="s">
        <v>77</v>
      </c>
      <c r="K12" t="s">
        <v>78</v>
      </c>
      <c r="L12" t="s">
        <v>79</v>
      </c>
    </row>
    <row r="13" spans="1:51" x14ac:dyDescent="0.25">
      <c r="A13" t="s">
        <v>69</v>
      </c>
      <c r="B13" t="s">
        <v>65</v>
      </c>
      <c r="C13" t="s">
        <v>66</v>
      </c>
      <c r="D13">
        <v>18000</v>
      </c>
      <c r="E13">
        <f>G13/D13</f>
        <v>0.55466666666666664</v>
      </c>
      <c r="F13">
        <f>1-E13</f>
        <v>0.44533333333333336</v>
      </c>
      <c r="G13">
        <v>9984</v>
      </c>
      <c r="H13">
        <f>D13-G13</f>
        <v>8016</v>
      </c>
      <c r="I13">
        <v>18.95</v>
      </c>
      <c r="J13">
        <v>19.350000000000001</v>
      </c>
      <c r="K13">
        <v>18.75</v>
      </c>
      <c r="L13">
        <v>18.14</v>
      </c>
    </row>
    <row r="15" spans="1:51" x14ac:dyDescent="0.25">
      <c r="A15" t="s">
        <v>68</v>
      </c>
      <c r="B15" t="s">
        <v>61</v>
      </c>
      <c r="C15" t="s">
        <v>62</v>
      </c>
      <c r="D15" t="s">
        <v>63</v>
      </c>
      <c r="E15" t="s">
        <v>70</v>
      </c>
      <c r="F15" t="s">
        <v>71</v>
      </c>
      <c r="G15" t="s">
        <v>67</v>
      </c>
      <c r="H15" t="s">
        <v>64</v>
      </c>
      <c r="I15" t="s">
        <v>76</v>
      </c>
      <c r="J15" t="s">
        <v>77</v>
      </c>
      <c r="K15" t="s">
        <v>78</v>
      </c>
      <c r="L15" t="s">
        <v>79</v>
      </c>
    </row>
    <row r="16" spans="1:51" x14ac:dyDescent="0.25">
      <c r="A16" t="s">
        <v>69</v>
      </c>
      <c r="B16" t="s">
        <v>65</v>
      </c>
      <c r="C16" t="s">
        <v>72</v>
      </c>
      <c r="D16">
        <v>18000</v>
      </c>
      <c r="E16" s="6">
        <f>G16/D16</f>
        <v>0.53466666666666662</v>
      </c>
      <c r="F16">
        <f>1-E16</f>
        <v>0.46533333333333338</v>
      </c>
      <c r="G16">
        <v>9624</v>
      </c>
      <c r="H16">
        <f>D16-G16</f>
        <v>8376</v>
      </c>
      <c r="I16">
        <v>19.39</v>
      </c>
      <c r="J16">
        <v>18.7</v>
      </c>
      <c r="K16">
        <v>17.73</v>
      </c>
      <c r="L16">
        <v>18.62</v>
      </c>
    </row>
    <row r="18" spans="1:12" x14ac:dyDescent="0.25">
      <c r="A18" t="s">
        <v>68</v>
      </c>
      <c r="B18" t="s">
        <v>61</v>
      </c>
      <c r="C18" t="s">
        <v>62</v>
      </c>
      <c r="D18" t="s">
        <v>63</v>
      </c>
      <c r="E18" t="s">
        <v>70</v>
      </c>
      <c r="F18" t="s">
        <v>71</v>
      </c>
      <c r="G18" t="s">
        <v>67</v>
      </c>
      <c r="H18" t="s">
        <v>64</v>
      </c>
      <c r="I18" t="s">
        <v>76</v>
      </c>
      <c r="J18" t="s">
        <v>77</v>
      </c>
      <c r="K18" t="s">
        <v>78</v>
      </c>
      <c r="L18" t="s">
        <v>79</v>
      </c>
    </row>
    <row r="19" spans="1:12" x14ac:dyDescent="0.25">
      <c r="A19" t="s">
        <v>69</v>
      </c>
      <c r="B19" t="s">
        <v>65</v>
      </c>
      <c r="C19" t="s">
        <v>75</v>
      </c>
      <c r="D19">
        <v>18000</v>
      </c>
      <c r="E19">
        <f>G19/D19</f>
        <v>0.4097777777777778</v>
      </c>
      <c r="F19" s="6">
        <f>1-E19</f>
        <v>0.5902222222222222</v>
      </c>
      <c r="G19">
        <v>7376</v>
      </c>
      <c r="H19">
        <f>D19-G19</f>
        <v>10624</v>
      </c>
      <c r="I19">
        <v>20.25</v>
      </c>
      <c r="J19">
        <v>19.59</v>
      </c>
      <c r="K19">
        <v>18.62</v>
      </c>
      <c r="L19">
        <v>18.809999999999999</v>
      </c>
    </row>
  </sheetData>
  <mergeCells count="4">
    <mergeCell ref="B1:H2"/>
    <mergeCell ref="N1:U2"/>
    <mergeCell ref="AA1:AH2"/>
    <mergeCell ref="AN1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Weights</vt:lpstr>
      <vt:lpstr>Fights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Krzyśków (266614)</dc:creator>
  <cp:lastModifiedBy>Andrzej Krzyśków (266614)</cp:lastModifiedBy>
  <dcterms:created xsi:type="dcterms:W3CDTF">2026-03-21T14:19:48Z</dcterms:created>
  <dcterms:modified xsi:type="dcterms:W3CDTF">2026-03-29T18:42:26Z</dcterms:modified>
</cp:coreProperties>
</file>